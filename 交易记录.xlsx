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ujun\Documents\projects\Hurricane672.github.io\"/>
    </mc:Choice>
  </mc:AlternateContent>
  <xr:revisionPtr revIDLastSave="0" documentId="13_ncr:1_{DE3A8AC5-8C2B-41E4-9FF4-3A3E4D6CE12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总结" sheetId="7" r:id="rId1"/>
    <sheet name="日志重制" sheetId="6" r:id="rId2"/>
    <sheet name="入场理由" sheetId="5" r:id="rId3"/>
    <sheet name="入场类型" sheetId="9" r:id="rId4"/>
    <sheet name="离场理由" sheetId="10" r:id="rId5"/>
    <sheet name="错误原因" sheetId="11" r:id="rId6"/>
    <sheet name="临时" sheetId="13" r:id="rId7"/>
    <sheet name="别瞎搞日记本" sheetId="3" r:id="rId8"/>
    <sheet name="日志" sheetId="1" r:id="rId9"/>
    <sheet name="错误类型1" sheetId="2" r:id="rId10"/>
  </sheets>
  <definedNames>
    <definedName name="_xlnm._FilterDatabase" localSheetId="5" hidden="1">错误原因!$A$2:$A$24</definedName>
    <definedName name="_xlnm._FilterDatabase" localSheetId="4" hidden="1">离场理由!$A$2:$A$24</definedName>
    <definedName name="_xlnm._FilterDatabase" localSheetId="6" hidden="1">临时!$A$2:$A$24</definedName>
    <definedName name="_xlnm._FilterDatabase" localSheetId="8" hidden="1">日志!$C$1:$X$504</definedName>
    <definedName name="_xlnm._FilterDatabase" localSheetId="3" hidden="1">入场类型!$A$2:$A$24</definedName>
    <definedName name="_xlnm._FilterDatabase" localSheetId="2" hidden="1">入场理由!$A$2:$A$24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4" i="6" l="1"/>
  <c r="Q4" i="6" s="1"/>
  <c r="S3" i="6"/>
  <c r="S2" i="6"/>
  <c r="Q3" i="6"/>
  <c r="R3" i="6"/>
  <c r="D2" i="7"/>
  <c r="D3" i="9"/>
  <c r="D4" i="9"/>
  <c r="D5" i="9"/>
  <c r="D2" i="9"/>
  <c r="C4" i="9"/>
  <c r="C5" i="9"/>
  <c r="B3" i="9"/>
  <c r="B4" i="9"/>
  <c r="B5" i="9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" i="5"/>
  <c r="C3" i="5"/>
  <c r="C4" i="5"/>
  <c r="C5" i="5"/>
  <c r="C6" i="5"/>
  <c r="C7" i="5"/>
  <c r="C8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10" i="11"/>
  <c r="B9" i="11"/>
  <c r="B8" i="11"/>
  <c r="B7" i="11"/>
  <c r="B6" i="11"/>
  <c r="B5" i="11"/>
  <c r="B4" i="11"/>
  <c r="B3" i="11"/>
  <c r="B2" i="11"/>
  <c r="I2" i="6"/>
  <c r="R2" i="6" s="1"/>
  <c r="O7" i="1"/>
  <c r="N7" i="1"/>
  <c r="M7" i="1"/>
  <c r="I7" i="1"/>
  <c r="O6" i="1"/>
  <c r="M6" i="1"/>
  <c r="N6" i="1" s="1"/>
  <c r="I6" i="1"/>
  <c r="O5" i="1"/>
  <c r="M5" i="1"/>
  <c r="N5" i="1" s="1"/>
  <c r="I5" i="1"/>
  <c r="M3" i="1"/>
  <c r="I3" i="1"/>
  <c r="J1" i="1"/>
  <c r="K1" i="1" s="1"/>
  <c r="F1" i="1"/>
  <c r="L1" i="1"/>
  <c r="B10" i="2"/>
  <c r="B9" i="2"/>
  <c r="B8" i="2"/>
  <c r="B7" i="2"/>
  <c r="B6" i="2"/>
  <c r="B5" i="2"/>
  <c r="B4" i="2"/>
  <c r="B3" i="2"/>
  <c r="B2" i="2"/>
  <c r="M504" i="1"/>
  <c r="N504" i="1" s="1"/>
  <c r="M503" i="1"/>
  <c r="N503" i="1" s="1"/>
  <c r="M502" i="1"/>
  <c r="N502" i="1" s="1"/>
  <c r="M501" i="1"/>
  <c r="N501" i="1" s="1"/>
  <c r="M500" i="1"/>
  <c r="N500" i="1" s="1"/>
  <c r="M499" i="1"/>
  <c r="N499" i="1" s="1"/>
  <c r="M498" i="1"/>
  <c r="N498" i="1" s="1"/>
  <c r="M497" i="1"/>
  <c r="N497" i="1" s="1"/>
  <c r="M496" i="1"/>
  <c r="N496" i="1" s="1"/>
  <c r="M495" i="1"/>
  <c r="N495" i="1" s="1"/>
  <c r="M494" i="1"/>
  <c r="N494" i="1" s="1"/>
  <c r="M493" i="1"/>
  <c r="N493" i="1" s="1"/>
  <c r="M492" i="1"/>
  <c r="N492" i="1" s="1"/>
  <c r="M491" i="1"/>
  <c r="N491" i="1" s="1"/>
  <c r="M490" i="1"/>
  <c r="N490" i="1" s="1"/>
  <c r="M489" i="1"/>
  <c r="N489" i="1" s="1"/>
  <c r="M488" i="1"/>
  <c r="N488" i="1" s="1"/>
  <c r="M487" i="1"/>
  <c r="N487" i="1" s="1"/>
  <c r="M486" i="1"/>
  <c r="N486" i="1" s="1"/>
  <c r="M485" i="1"/>
  <c r="N485" i="1" s="1"/>
  <c r="M484" i="1"/>
  <c r="N484" i="1" s="1"/>
  <c r="M483" i="1"/>
  <c r="N483" i="1" s="1"/>
  <c r="M482" i="1"/>
  <c r="N482" i="1" s="1"/>
  <c r="M481" i="1"/>
  <c r="N481" i="1" s="1"/>
  <c r="M480" i="1"/>
  <c r="N480" i="1" s="1"/>
  <c r="M479" i="1"/>
  <c r="N479" i="1" s="1"/>
  <c r="M478" i="1"/>
  <c r="N478" i="1" s="1"/>
  <c r="M477" i="1"/>
  <c r="N477" i="1" s="1"/>
  <c r="M476" i="1"/>
  <c r="N476" i="1" s="1"/>
  <c r="M475" i="1"/>
  <c r="N475" i="1" s="1"/>
  <c r="M474" i="1"/>
  <c r="N474" i="1" s="1"/>
  <c r="M473" i="1"/>
  <c r="N473" i="1" s="1"/>
  <c r="M472" i="1"/>
  <c r="N472" i="1" s="1"/>
  <c r="M471" i="1"/>
  <c r="N471" i="1" s="1"/>
  <c r="M470" i="1"/>
  <c r="N470" i="1" s="1"/>
  <c r="M469" i="1"/>
  <c r="N469" i="1" s="1"/>
  <c r="M468" i="1"/>
  <c r="N468" i="1" s="1"/>
  <c r="M467" i="1"/>
  <c r="N467" i="1" s="1"/>
  <c r="M466" i="1"/>
  <c r="N466" i="1" s="1"/>
  <c r="M465" i="1"/>
  <c r="N465" i="1" s="1"/>
  <c r="M464" i="1"/>
  <c r="N464" i="1" s="1"/>
  <c r="M463" i="1"/>
  <c r="N463" i="1" s="1"/>
  <c r="M462" i="1"/>
  <c r="N462" i="1" s="1"/>
  <c r="M461" i="1"/>
  <c r="N461" i="1" s="1"/>
  <c r="M460" i="1"/>
  <c r="N460" i="1" s="1"/>
  <c r="M459" i="1"/>
  <c r="N459" i="1" s="1"/>
  <c r="M458" i="1"/>
  <c r="N458" i="1" s="1"/>
  <c r="M457" i="1"/>
  <c r="N457" i="1" s="1"/>
  <c r="M456" i="1"/>
  <c r="N456" i="1" s="1"/>
  <c r="M455" i="1"/>
  <c r="N455" i="1" s="1"/>
  <c r="M454" i="1"/>
  <c r="N454" i="1" s="1"/>
  <c r="M453" i="1"/>
  <c r="N453" i="1" s="1"/>
  <c r="M452" i="1"/>
  <c r="N452" i="1" s="1"/>
  <c r="M451" i="1"/>
  <c r="N451" i="1" s="1"/>
  <c r="M450" i="1"/>
  <c r="N450" i="1" s="1"/>
  <c r="M449" i="1"/>
  <c r="N449" i="1" s="1"/>
  <c r="M448" i="1"/>
  <c r="N448" i="1" s="1"/>
  <c r="M447" i="1"/>
  <c r="N447" i="1" s="1"/>
  <c r="M446" i="1"/>
  <c r="N446" i="1" s="1"/>
  <c r="M445" i="1"/>
  <c r="N445" i="1" s="1"/>
  <c r="M444" i="1"/>
  <c r="N444" i="1" s="1"/>
  <c r="M443" i="1"/>
  <c r="N443" i="1" s="1"/>
  <c r="M442" i="1"/>
  <c r="N442" i="1" s="1"/>
  <c r="M441" i="1"/>
  <c r="N441" i="1" s="1"/>
  <c r="M440" i="1"/>
  <c r="N440" i="1" s="1"/>
  <c r="M439" i="1"/>
  <c r="N439" i="1" s="1"/>
  <c r="M438" i="1"/>
  <c r="N438" i="1" s="1"/>
  <c r="M437" i="1"/>
  <c r="N437" i="1" s="1"/>
  <c r="M436" i="1"/>
  <c r="N436" i="1" s="1"/>
  <c r="M435" i="1"/>
  <c r="N435" i="1" s="1"/>
  <c r="M434" i="1"/>
  <c r="N434" i="1" s="1"/>
  <c r="M433" i="1"/>
  <c r="N433" i="1" s="1"/>
  <c r="M432" i="1"/>
  <c r="N432" i="1" s="1"/>
  <c r="M431" i="1"/>
  <c r="N431" i="1" s="1"/>
  <c r="M430" i="1"/>
  <c r="N430" i="1" s="1"/>
  <c r="M429" i="1"/>
  <c r="N429" i="1" s="1"/>
  <c r="M428" i="1"/>
  <c r="N428" i="1" s="1"/>
  <c r="M427" i="1"/>
  <c r="N427" i="1" s="1"/>
  <c r="M426" i="1"/>
  <c r="N426" i="1" s="1"/>
  <c r="M425" i="1"/>
  <c r="N425" i="1" s="1"/>
  <c r="M424" i="1"/>
  <c r="N424" i="1" s="1"/>
  <c r="M423" i="1"/>
  <c r="N423" i="1" s="1"/>
  <c r="M422" i="1"/>
  <c r="N422" i="1" s="1"/>
  <c r="M421" i="1"/>
  <c r="N421" i="1" s="1"/>
  <c r="M420" i="1"/>
  <c r="N420" i="1" s="1"/>
  <c r="M419" i="1"/>
  <c r="N419" i="1" s="1"/>
  <c r="M418" i="1"/>
  <c r="N418" i="1" s="1"/>
  <c r="M417" i="1"/>
  <c r="N417" i="1" s="1"/>
  <c r="M416" i="1"/>
  <c r="N416" i="1" s="1"/>
  <c r="M415" i="1"/>
  <c r="N415" i="1" s="1"/>
  <c r="M414" i="1"/>
  <c r="N414" i="1" s="1"/>
  <c r="M413" i="1"/>
  <c r="N413" i="1" s="1"/>
  <c r="M412" i="1"/>
  <c r="N412" i="1" s="1"/>
  <c r="M411" i="1"/>
  <c r="N411" i="1" s="1"/>
  <c r="M410" i="1"/>
  <c r="N410" i="1" s="1"/>
  <c r="M409" i="1"/>
  <c r="N409" i="1" s="1"/>
  <c r="M408" i="1"/>
  <c r="N408" i="1" s="1"/>
  <c r="M407" i="1"/>
  <c r="N407" i="1" s="1"/>
  <c r="M406" i="1"/>
  <c r="N406" i="1" s="1"/>
  <c r="M405" i="1"/>
  <c r="N405" i="1" s="1"/>
  <c r="M404" i="1"/>
  <c r="N404" i="1" s="1"/>
  <c r="M403" i="1"/>
  <c r="N403" i="1" s="1"/>
  <c r="M402" i="1"/>
  <c r="N402" i="1" s="1"/>
  <c r="M401" i="1"/>
  <c r="N401" i="1" s="1"/>
  <c r="M400" i="1"/>
  <c r="N400" i="1" s="1"/>
  <c r="M399" i="1"/>
  <c r="N399" i="1" s="1"/>
  <c r="M398" i="1"/>
  <c r="N398" i="1" s="1"/>
  <c r="M397" i="1"/>
  <c r="N397" i="1" s="1"/>
  <c r="M396" i="1"/>
  <c r="N396" i="1" s="1"/>
  <c r="M395" i="1"/>
  <c r="N395" i="1" s="1"/>
  <c r="M394" i="1"/>
  <c r="N394" i="1" s="1"/>
  <c r="M393" i="1"/>
  <c r="N393" i="1" s="1"/>
  <c r="M392" i="1"/>
  <c r="N392" i="1" s="1"/>
  <c r="M391" i="1"/>
  <c r="N391" i="1" s="1"/>
  <c r="M390" i="1"/>
  <c r="N390" i="1" s="1"/>
  <c r="M389" i="1"/>
  <c r="N389" i="1" s="1"/>
  <c r="M388" i="1"/>
  <c r="N388" i="1" s="1"/>
  <c r="M387" i="1"/>
  <c r="N387" i="1" s="1"/>
  <c r="M386" i="1"/>
  <c r="N386" i="1" s="1"/>
  <c r="M385" i="1"/>
  <c r="N385" i="1" s="1"/>
  <c r="M384" i="1"/>
  <c r="N384" i="1" s="1"/>
  <c r="M383" i="1"/>
  <c r="N383" i="1" s="1"/>
  <c r="M382" i="1"/>
  <c r="N382" i="1" s="1"/>
  <c r="M381" i="1"/>
  <c r="N381" i="1" s="1"/>
  <c r="M380" i="1"/>
  <c r="N380" i="1" s="1"/>
  <c r="M379" i="1"/>
  <c r="N379" i="1" s="1"/>
  <c r="M378" i="1"/>
  <c r="N378" i="1" s="1"/>
  <c r="M377" i="1"/>
  <c r="N377" i="1" s="1"/>
  <c r="M376" i="1"/>
  <c r="N376" i="1" s="1"/>
  <c r="M375" i="1"/>
  <c r="N375" i="1" s="1"/>
  <c r="M374" i="1"/>
  <c r="N374" i="1" s="1"/>
  <c r="M373" i="1"/>
  <c r="N373" i="1" s="1"/>
  <c r="M372" i="1"/>
  <c r="N372" i="1" s="1"/>
  <c r="M371" i="1"/>
  <c r="N371" i="1" s="1"/>
  <c r="M370" i="1"/>
  <c r="N370" i="1" s="1"/>
  <c r="M369" i="1"/>
  <c r="N369" i="1" s="1"/>
  <c r="M368" i="1"/>
  <c r="N368" i="1" s="1"/>
  <c r="M367" i="1"/>
  <c r="N367" i="1" s="1"/>
  <c r="M366" i="1"/>
  <c r="N366" i="1" s="1"/>
  <c r="M365" i="1"/>
  <c r="N365" i="1" s="1"/>
  <c r="M364" i="1"/>
  <c r="N364" i="1" s="1"/>
  <c r="M363" i="1"/>
  <c r="M362" i="1"/>
  <c r="M361" i="1"/>
  <c r="N361" i="1" s="1"/>
  <c r="M360" i="1"/>
  <c r="M359" i="1"/>
  <c r="N359" i="1" s="1"/>
  <c r="M358" i="1"/>
  <c r="M357" i="1"/>
  <c r="M356" i="1"/>
  <c r="N356" i="1" s="1"/>
  <c r="M355" i="1"/>
  <c r="M354" i="1"/>
  <c r="N354" i="1" s="1"/>
  <c r="M353" i="1"/>
  <c r="N353" i="1" s="1"/>
  <c r="M352" i="1"/>
  <c r="N352" i="1" s="1"/>
  <c r="M351" i="1"/>
  <c r="N351" i="1" s="1"/>
  <c r="M350" i="1"/>
  <c r="M349" i="1"/>
  <c r="N349" i="1" s="1"/>
  <c r="M348" i="1"/>
  <c r="N348" i="1" s="1"/>
  <c r="M347" i="1"/>
  <c r="M346" i="1"/>
  <c r="N346" i="1" s="1"/>
  <c r="M345" i="1"/>
  <c r="N345" i="1" s="1"/>
  <c r="M344" i="1"/>
  <c r="M343" i="1"/>
  <c r="N343" i="1" s="1"/>
  <c r="M342" i="1"/>
  <c r="M341" i="1"/>
  <c r="N341" i="1" s="1"/>
  <c r="M340" i="1"/>
  <c r="M339" i="1"/>
  <c r="N339" i="1" s="1"/>
  <c r="M338" i="1"/>
  <c r="N338" i="1" s="1"/>
  <c r="M337" i="1"/>
  <c r="N337" i="1" s="1"/>
  <c r="M336" i="1"/>
  <c r="M335" i="1"/>
  <c r="N335" i="1" s="1"/>
  <c r="M334" i="1"/>
  <c r="M333" i="1"/>
  <c r="N333" i="1" s="1"/>
  <c r="M332" i="1"/>
  <c r="N332" i="1" s="1"/>
  <c r="M331" i="1"/>
  <c r="M330" i="1"/>
  <c r="N330" i="1" s="1"/>
  <c r="M329" i="1"/>
  <c r="N329" i="1" s="1"/>
  <c r="M328" i="1"/>
  <c r="M327" i="1"/>
  <c r="M326" i="1"/>
  <c r="N326" i="1" s="1"/>
  <c r="M325" i="1"/>
  <c r="N325" i="1" s="1"/>
  <c r="M324" i="1"/>
  <c r="N324" i="1" s="1"/>
  <c r="M323" i="1"/>
  <c r="M322" i="1"/>
  <c r="N322" i="1" s="1"/>
  <c r="M321" i="1"/>
  <c r="N321" i="1" s="1"/>
  <c r="M320" i="1"/>
  <c r="M319" i="1"/>
  <c r="N319" i="1" s="1"/>
  <c r="M318" i="1"/>
  <c r="M317" i="1"/>
  <c r="N317" i="1" s="1"/>
  <c r="M316" i="1"/>
  <c r="N316" i="1" s="1"/>
  <c r="M315" i="1"/>
  <c r="M314" i="1"/>
  <c r="M313" i="1"/>
  <c r="N313" i="1" s="1"/>
  <c r="M312" i="1"/>
  <c r="M311" i="1"/>
  <c r="N311" i="1" s="1"/>
  <c r="M310" i="1"/>
  <c r="M309" i="1"/>
  <c r="M308" i="1"/>
  <c r="N308" i="1" s="1"/>
  <c r="M307" i="1"/>
  <c r="M306" i="1"/>
  <c r="N306" i="1" s="1"/>
  <c r="M305" i="1"/>
  <c r="N305" i="1" s="1"/>
  <c r="M304" i="1"/>
  <c r="N304" i="1" s="1"/>
  <c r="M303" i="1"/>
  <c r="N303" i="1" s="1"/>
  <c r="M302" i="1"/>
  <c r="M301" i="1"/>
  <c r="N301" i="1" s="1"/>
  <c r="M300" i="1"/>
  <c r="N300" i="1" s="1"/>
  <c r="M299" i="1"/>
  <c r="M298" i="1"/>
  <c r="N298" i="1" s="1"/>
  <c r="M297" i="1"/>
  <c r="N297" i="1" s="1"/>
  <c r="M296" i="1"/>
  <c r="M295" i="1"/>
  <c r="N295" i="1" s="1"/>
  <c r="M294" i="1"/>
  <c r="M293" i="1"/>
  <c r="N293" i="1" s="1"/>
  <c r="M292" i="1"/>
  <c r="M291" i="1"/>
  <c r="N291" i="1" s="1"/>
  <c r="M290" i="1"/>
  <c r="N290" i="1" s="1"/>
  <c r="M289" i="1"/>
  <c r="N289" i="1" s="1"/>
  <c r="M288" i="1"/>
  <c r="M287" i="1"/>
  <c r="N287" i="1" s="1"/>
  <c r="M286" i="1"/>
  <c r="M285" i="1"/>
  <c r="N285" i="1" s="1"/>
  <c r="M284" i="1"/>
  <c r="N284" i="1" s="1"/>
  <c r="M283" i="1"/>
  <c r="M282" i="1"/>
  <c r="N282" i="1" s="1"/>
  <c r="M281" i="1"/>
  <c r="N281" i="1" s="1"/>
  <c r="M280" i="1"/>
  <c r="M279" i="1"/>
  <c r="M278" i="1"/>
  <c r="N278" i="1" s="1"/>
  <c r="M277" i="1"/>
  <c r="N277" i="1" s="1"/>
  <c r="M276" i="1"/>
  <c r="N276" i="1" s="1"/>
  <c r="M275" i="1"/>
  <c r="M274" i="1"/>
  <c r="N274" i="1" s="1"/>
  <c r="M273" i="1"/>
  <c r="N273" i="1" s="1"/>
  <c r="M272" i="1"/>
  <c r="M271" i="1"/>
  <c r="N271" i="1" s="1"/>
  <c r="M270" i="1"/>
  <c r="M269" i="1"/>
  <c r="N269" i="1" s="1"/>
  <c r="M268" i="1"/>
  <c r="N268" i="1" s="1"/>
  <c r="M267" i="1"/>
  <c r="M266" i="1"/>
  <c r="M265" i="1"/>
  <c r="N265" i="1" s="1"/>
  <c r="M264" i="1"/>
  <c r="M263" i="1"/>
  <c r="N263" i="1" s="1"/>
  <c r="M262" i="1"/>
  <c r="M261" i="1"/>
  <c r="M260" i="1"/>
  <c r="N260" i="1" s="1"/>
  <c r="M259" i="1"/>
  <c r="M258" i="1"/>
  <c r="N258" i="1" s="1"/>
  <c r="M257" i="1"/>
  <c r="N257" i="1" s="1"/>
  <c r="M256" i="1"/>
  <c r="N256" i="1" s="1"/>
  <c r="M255" i="1"/>
  <c r="N255" i="1" s="1"/>
  <c r="M254" i="1"/>
  <c r="M253" i="1"/>
  <c r="N253" i="1" s="1"/>
  <c r="M252" i="1"/>
  <c r="N252" i="1" s="1"/>
  <c r="M251" i="1"/>
  <c r="M250" i="1"/>
  <c r="N250" i="1" s="1"/>
  <c r="M249" i="1"/>
  <c r="N249" i="1" s="1"/>
  <c r="M248" i="1"/>
  <c r="M247" i="1"/>
  <c r="N247" i="1" s="1"/>
  <c r="M246" i="1"/>
  <c r="M245" i="1"/>
  <c r="N245" i="1" s="1"/>
  <c r="M244" i="1"/>
  <c r="M243" i="1"/>
  <c r="N243" i="1" s="1"/>
  <c r="M242" i="1"/>
  <c r="N242" i="1" s="1"/>
  <c r="M241" i="1"/>
  <c r="N241" i="1" s="1"/>
  <c r="M240" i="1"/>
  <c r="M239" i="1"/>
  <c r="N239" i="1" s="1"/>
  <c r="M238" i="1"/>
  <c r="M237" i="1"/>
  <c r="N237" i="1" s="1"/>
  <c r="M236" i="1"/>
  <c r="N236" i="1" s="1"/>
  <c r="M235" i="1"/>
  <c r="M234" i="1"/>
  <c r="N234" i="1" s="1"/>
  <c r="M233" i="1"/>
  <c r="N233" i="1" s="1"/>
  <c r="M232" i="1"/>
  <c r="M231" i="1"/>
  <c r="M230" i="1"/>
  <c r="N230" i="1" s="1"/>
  <c r="M229" i="1"/>
  <c r="N229" i="1" s="1"/>
  <c r="M228" i="1"/>
  <c r="N228" i="1" s="1"/>
  <c r="M227" i="1"/>
  <c r="M226" i="1"/>
  <c r="N226" i="1" s="1"/>
  <c r="M225" i="1"/>
  <c r="N225" i="1" s="1"/>
  <c r="M224" i="1"/>
  <c r="M223" i="1"/>
  <c r="N223" i="1" s="1"/>
  <c r="M222" i="1"/>
  <c r="M221" i="1"/>
  <c r="N221" i="1" s="1"/>
  <c r="M220" i="1"/>
  <c r="N220" i="1" s="1"/>
  <c r="M219" i="1"/>
  <c r="M218" i="1"/>
  <c r="M217" i="1"/>
  <c r="N217" i="1" s="1"/>
  <c r="M216" i="1"/>
  <c r="M215" i="1"/>
  <c r="N215" i="1" s="1"/>
  <c r="M214" i="1"/>
  <c r="M213" i="1"/>
  <c r="M212" i="1"/>
  <c r="N212" i="1" s="1"/>
  <c r="M211" i="1"/>
  <c r="M210" i="1"/>
  <c r="N210" i="1" s="1"/>
  <c r="M209" i="1"/>
  <c r="N209" i="1" s="1"/>
  <c r="M208" i="1"/>
  <c r="N208" i="1" s="1"/>
  <c r="M207" i="1"/>
  <c r="N207" i="1" s="1"/>
  <c r="M206" i="1"/>
  <c r="M205" i="1"/>
  <c r="N205" i="1" s="1"/>
  <c r="M204" i="1"/>
  <c r="N204" i="1" s="1"/>
  <c r="M203" i="1"/>
  <c r="M202" i="1"/>
  <c r="N202" i="1" s="1"/>
  <c r="M201" i="1"/>
  <c r="N201" i="1" s="1"/>
  <c r="M200" i="1"/>
  <c r="M199" i="1"/>
  <c r="N199" i="1" s="1"/>
  <c r="M198" i="1"/>
  <c r="M197" i="1"/>
  <c r="N197" i="1" s="1"/>
  <c r="M196" i="1"/>
  <c r="M195" i="1"/>
  <c r="N195" i="1" s="1"/>
  <c r="M194" i="1"/>
  <c r="N194" i="1" s="1"/>
  <c r="M193" i="1"/>
  <c r="N193" i="1" s="1"/>
  <c r="M192" i="1"/>
  <c r="M191" i="1"/>
  <c r="N191" i="1" s="1"/>
  <c r="M190" i="1"/>
  <c r="M189" i="1"/>
  <c r="N189" i="1" s="1"/>
  <c r="M188" i="1"/>
  <c r="N188" i="1" s="1"/>
  <c r="M187" i="1"/>
  <c r="M186" i="1"/>
  <c r="N186" i="1" s="1"/>
  <c r="M185" i="1"/>
  <c r="N185" i="1" s="1"/>
  <c r="M184" i="1"/>
  <c r="M183" i="1"/>
  <c r="M182" i="1"/>
  <c r="N182" i="1" s="1"/>
  <c r="M181" i="1"/>
  <c r="N181" i="1" s="1"/>
  <c r="M180" i="1"/>
  <c r="N180" i="1" s="1"/>
  <c r="M179" i="1"/>
  <c r="M178" i="1"/>
  <c r="N178" i="1" s="1"/>
  <c r="M177" i="1"/>
  <c r="N177" i="1" s="1"/>
  <c r="M176" i="1"/>
  <c r="M175" i="1"/>
  <c r="N175" i="1" s="1"/>
  <c r="M174" i="1"/>
  <c r="M173" i="1"/>
  <c r="N173" i="1" s="1"/>
  <c r="M172" i="1"/>
  <c r="N172" i="1" s="1"/>
  <c r="M171" i="1"/>
  <c r="M170" i="1"/>
  <c r="M169" i="1"/>
  <c r="N169" i="1" s="1"/>
  <c r="M168" i="1"/>
  <c r="M167" i="1"/>
  <c r="N167" i="1" s="1"/>
  <c r="M166" i="1"/>
  <c r="M165" i="1"/>
  <c r="N165" i="1" s="1"/>
  <c r="M164" i="1"/>
  <c r="N164" i="1" s="1"/>
  <c r="M163" i="1"/>
  <c r="M162" i="1"/>
  <c r="N162" i="1" s="1"/>
  <c r="M161" i="1"/>
  <c r="M160" i="1"/>
  <c r="N160" i="1" s="1"/>
  <c r="M159" i="1"/>
  <c r="N159" i="1" s="1"/>
  <c r="M158" i="1"/>
  <c r="M157" i="1"/>
  <c r="N157" i="1" s="1"/>
  <c r="M156" i="1"/>
  <c r="N156" i="1" s="1"/>
  <c r="M155" i="1"/>
  <c r="M154" i="1"/>
  <c r="N154" i="1" s="1"/>
  <c r="M153" i="1"/>
  <c r="N153" i="1" s="1"/>
  <c r="M152" i="1"/>
  <c r="M151" i="1"/>
  <c r="N151" i="1" s="1"/>
  <c r="M150" i="1"/>
  <c r="M149" i="1"/>
  <c r="N149" i="1" s="1"/>
  <c r="M148" i="1"/>
  <c r="M147" i="1"/>
  <c r="N147" i="1" s="1"/>
  <c r="M146" i="1"/>
  <c r="N146" i="1" s="1"/>
  <c r="M145" i="1"/>
  <c r="N145" i="1" s="1"/>
  <c r="M144" i="1"/>
  <c r="M143" i="1"/>
  <c r="N143" i="1" s="1"/>
  <c r="M142" i="1"/>
  <c r="M141" i="1"/>
  <c r="N141" i="1" s="1"/>
  <c r="M140" i="1"/>
  <c r="N140" i="1" s="1"/>
  <c r="M139" i="1"/>
  <c r="N139" i="1" s="1"/>
  <c r="M138" i="1"/>
  <c r="N138" i="1" s="1"/>
  <c r="M137" i="1"/>
  <c r="N137" i="1" s="1"/>
  <c r="M136" i="1"/>
  <c r="M135" i="1"/>
  <c r="M134" i="1"/>
  <c r="N134" i="1" s="1"/>
  <c r="M133" i="1"/>
  <c r="N133" i="1" s="1"/>
  <c r="M132" i="1"/>
  <c r="N132" i="1" s="1"/>
  <c r="M131" i="1"/>
  <c r="M130" i="1"/>
  <c r="N130" i="1" s="1"/>
  <c r="M129" i="1"/>
  <c r="N129" i="1" s="1"/>
  <c r="M128" i="1"/>
  <c r="M127" i="1"/>
  <c r="N127" i="1" s="1"/>
  <c r="M126" i="1"/>
  <c r="M125" i="1"/>
  <c r="N125" i="1" s="1"/>
  <c r="M124" i="1"/>
  <c r="N124" i="1" s="1"/>
  <c r="M123" i="1"/>
  <c r="M122" i="1"/>
  <c r="M121" i="1"/>
  <c r="N121" i="1" s="1"/>
  <c r="M120" i="1"/>
  <c r="M119" i="1"/>
  <c r="N119" i="1" s="1"/>
  <c r="M118" i="1"/>
  <c r="M117" i="1"/>
  <c r="N117" i="1" s="1"/>
  <c r="M116" i="1"/>
  <c r="M115" i="1"/>
  <c r="N115" i="1" s="1"/>
  <c r="M114" i="1"/>
  <c r="M113" i="1"/>
  <c r="N113" i="1" s="1"/>
  <c r="M112" i="1"/>
  <c r="M111" i="1"/>
  <c r="N111" i="1" s="1"/>
  <c r="M110" i="1"/>
  <c r="M109" i="1"/>
  <c r="N109" i="1" s="1"/>
  <c r="M108" i="1"/>
  <c r="M107" i="1"/>
  <c r="N107" i="1" s="1"/>
  <c r="M106" i="1"/>
  <c r="M105" i="1"/>
  <c r="N105" i="1" s="1"/>
  <c r="M104" i="1"/>
  <c r="M103" i="1"/>
  <c r="N103" i="1" s="1"/>
  <c r="M102" i="1"/>
  <c r="M101" i="1"/>
  <c r="N101" i="1" s="1"/>
  <c r="M100" i="1"/>
  <c r="M99" i="1"/>
  <c r="N99" i="1" s="1"/>
  <c r="M98" i="1"/>
  <c r="M97" i="1"/>
  <c r="N97" i="1" s="1"/>
  <c r="M96" i="1"/>
  <c r="M95" i="1"/>
  <c r="N95" i="1" s="1"/>
  <c r="M94" i="1"/>
  <c r="M93" i="1"/>
  <c r="N93" i="1" s="1"/>
  <c r="M92" i="1"/>
  <c r="M91" i="1"/>
  <c r="N91" i="1" s="1"/>
  <c r="M90" i="1"/>
  <c r="M89" i="1"/>
  <c r="N89" i="1" s="1"/>
  <c r="M88" i="1"/>
  <c r="M87" i="1"/>
  <c r="N87" i="1" s="1"/>
  <c r="M86" i="1"/>
  <c r="M85" i="1"/>
  <c r="N85" i="1" s="1"/>
  <c r="M84" i="1"/>
  <c r="M83" i="1"/>
  <c r="N83" i="1" s="1"/>
  <c r="M82" i="1"/>
  <c r="M81" i="1"/>
  <c r="N81" i="1" s="1"/>
  <c r="M80" i="1"/>
  <c r="M79" i="1"/>
  <c r="N79" i="1" s="1"/>
  <c r="M78" i="1"/>
  <c r="M77" i="1"/>
  <c r="N77" i="1" s="1"/>
  <c r="M76" i="1"/>
  <c r="M75" i="1"/>
  <c r="N75" i="1" s="1"/>
  <c r="M74" i="1"/>
  <c r="T26" i="1" s="1"/>
  <c r="M73" i="1"/>
  <c r="N73" i="1" s="1"/>
  <c r="U25" i="1" s="1"/>
  <c r="M72" i="1"/>
  <c r="M71" i="1"/>
  <c r="N71" i="1" s="1"/>
  <c r="M70" i="1"/>
  <c r="M69" i="1"/>
  <c r="N69" i="1" s="1"/>
  <c r="M68" i="1"/>
  <c r="M67" i="1"/>
  <c r="N67" i="1" s="1"/>
  <c r="M66" i="1"/>
  <c r="M65" i="1"/>
  <c r="N65" i="1" s="1"/>
  <c r="M64" i="1"/>
  <c r="M63" i="1"/>
  <c r="N63" i="1" s="1"/>
  <c r="M62" i="1"/>
  <c r="M61" i="1"/>
  <c r="N61" i="1" s="1"/>
  <c r="M60" i="1"/>
  <c r="M59" i="1"/>
  <c r="N59" i="1" s="1"/>
  <c r="M58" i="1"/>
  <c r="M57" i="1"/>
  <c r="N57" i="1" s="1"/>
  <c r="M56" i="1"/>
  <c r="M55" i="1"/>
  <c r="N55" i="1" s="1"/>
  <c r="M54" i="1"/>
  <c r="M53" i="1"/>
  <c r="N53" i="1" s="1"/>
  <c r="M52" i="1"/>
  <c r="T23" i="1" s="1"/>
  <c r="M51" i="1"/>
  <c r="N51" i="1" s="1"/>
  <c r="M50" i="1"/>
  <c r="M49" i="1"/>
  <c r="N49" i="1" s="1"/>
  <c r="M48" i="1"/>
  <c r="M47" i="1"/>
  <c r="N47" i="1" s="1"/>
  <c r="M46" i="1"/>
  <c r="M45" i="1"/>
  <c r="N45" i="1" s="1"/>
  <c r="M44" i="1"/>
  <c r="M43" i="1"/>
  <c r="N43" i="1" s="1"/>
  <c r="M42" i="1"/>
  <c r="M41" i="1"/>
  <c r="N41" i="1" s="1"/>
  <c r="M40" i="1"/>
  <c r="M39" i="1"/>
  <c r="N39" i="1" s="1"/>
  <c r="V38" i="1"/>
  <c r="M38" i="1"/>
  <c r="N38" i="1" s="1"/>
  <c r="U13" i="1" s="1"/>
  <c r="V37" i="1"/>
  <c r="M37" i="1"/>
  <c r="N37" i="1" s="1"/>
  <c r="V36" i="1"/>
  <c r="M36" i="1"/>
  <c r="N36" i="1" s="1"/>
  <c r="V35" i="1"/>
  <c r="M35" i="1"/>
  <c r="N35" i="1" s="1"/>
  <c r="M34" i="1"/>
  <c r="N34" i="1" s="1"/>
  <c r="M33" i="1"/>
  <c r="N33" i="1" s="1"/>
  <c r="M32" i="1"/>
  <c r="N32" i="1" s="1"/>
  <c r="M31" i="1"/>
  <c r="N31" i="1" s="1"/>
  <c r="U17" i="1" s="1"/>
  <c r="M30" i="1"/>
  <c r="N30" i="1" s="1"/>
  <c r="U15" i="1" s="1"/>
  <c r="M29" i="1"/>
  <c r="N29" i="1" s="1"/>
  <c r="M28" i="1"/>
  <c r="N28" i="1" s="1"/>
  <c r="V27" i="1"/>
  <c r="M27" i="1"/>
  <c r="N27" i="1" s="1"/>
  <c r="V26" i="1"/>
  <c r="M26" i="1"/>
  <c r="N26" i="1" s="1"/>
  <c r="V25" i="1"/>
  <c r="M25" i="1"/>
  <c r="N25" i="1" s="1"/>
  <c r="V24" i="1"/>
  <c r="T24" i="1"/>
  <c r="M24" i="1"/>
  <c r="N24" i="1" s="1"/>
  <c r="V23" i="1"/>
  <c r="M23" i="1"/>
  <c r="N23" i="1" s="1"/>
  <c r="V22" i="1"/>
  <c r="M22" i="1"/>
  <c r="N22" i="1" s="1"/>
  <c r="V21" i="1"/>
  <c r="M21" i="1"/>
  <c r="N21" i="1" s="1"/>
  <c r="V20" i="1"/>
  <c r="M20" i="1"/>
  <c r="N20" i="1" s="1"/>
  <c r="V19" i="1"/>
  <c r="M19" i="1"/>
  <c r="N19" i="1" s="1"/>
  <c r="V18" i="1"/>
  <c r="M18" i="1"/>
  <c r="N18" i="1" s="1"/>
  <c r="V17" i="1"/>
  <c r="M17" i="1"/>
  <c r="N17" i="1" s="1"/>
  <c r="U12" i="1" s="1"/>
  <c r="V16" i="1"/>
  <c r="U16" i="1"/>
  <c r="T16" i="1"/>
  <c r="M16" i="1"/>
  <c r="N16" i="1" s="1"/>
  <c r="U11" i="1" s="1"/>
  <c r="V15" i="1"/>
  <c r="M15" i="1"/>
  <c r="N15" i="1" s="1"/>
  <c r="V14" i="1"/>
  <c r="U14" i="1"/>
  <c r="M14" i="1"/>
  <c r="N14" i="1" s="1"/>
  <c r="V13" i="1"/>
  <c r="M13" i="1"/>
  <c r="N13" i="1" s="1"/>
  <c r="V12" i="1"/>
  <c r="M12" i="1"/>
  <c r="N12" i="1" s="1"/>
  <c r="V11" i="1"/>
  <c r="M11" i="1"/>
  <c r="N11" i="1" s="1"/>
  <c r="V10" i="1"/>
  <c r="M10" i="1"/>
  <c r="N10" i="1" s="1"/>
  <c r="V9" i="1"/>
  <c r="M9" i="1"/>
  <c r="V8" i="1"/>
  <c r="M8" i="1"/>
  <c r="N8" i="1" s="1"/>
  <c r="V7" i="1"/>
  <c r="V6" i="1"/>
  <c r="V5" i="1"/>
  <c r="M4" i="1"/>
  <c r="O4" i="1" s="1"/>
  <c r="R3" i="1"/>
  <c r="N3" i="1"/>
  <c r="C9" i="5" l="1"/>
  <c r="C3" i="9"/>
  <c r="S4" i="6"/>
  <c r="B2" i="9"/>
  <c r="B25" i="5"/>
  <c r="C2" i="7"/>
  <c r="E2" i="7" s="1"/>
  <c r="B2" i="7"/>
  <c r="Q2" i="6"/>
  <c r="T27" i="1"/>
  <c r="T25" i="1"/>
  <c r="T21" i="1"/>
  <c r="T22" i="1"/>
  <c r="T14" i="1"/>
  <c r="T19" i="1"/>
  <c r="U10" i="1"/>
  <c r="T20" i="1"/>
  <c r="T11" i="1"/>
  <c r="T10" i="1"/>
  <c r="T18" i="1"/>
  <c r="T17" i="1"/>
  <c r="T15" i="1"/>
  <c r="T13" i="1"/>
  <c r="T12" i="1"/>
  <c r="T36" i="1"/>
  <c r="U6" i="1"/>
  <c r="T35" i="1"/>
  <c r="T9" i="1"/>
  <c r="T8" i="1"/>
  <c r="N9" i="1"/>
  <c r="T37" i="1"/>
  <c r="T7" i="1"/>
  <c r="T6" i="1"/>
  <c r="T38" i="1"/>
  <c r="N4" i="1"/>
  <c r="T5" i="1"/>
  <c r="O3" i="1"/>
  <c r="N135" i="1"/>
  <c r="N235" i="1"/>
  <c r="N218" i="1"/>
  <c r="N261" i="1"/>
  <c r="N270" i="1"/>
  <c r="N296" i="1"/>
  <c r="M1" i="1"/>
  <c r="N152" i="1"/>
  <c r="N331" i="1"/>
  <c r="X2" i="1"/>
  <c r="N122" i="1"/>
  <c r="N161" i="1"/>
  <c r="N187" i="1"/>
  <c r="N170" i="1"/>
  <c r="N213" i="1"/>
  <c r="N222" i="1"/>
  <c r="N248" i="1"/>
  <c r="N357" i="1"/>
  <c r="N283" i="1"/>
  <c r="N148" i="1"/>
  <c r="N309" i="1"/>
  <c r="N318" i="1"/>
  <c r="O8" i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N126" i="1"/>
  <c r="N344" i="1"/>
  <c r="N174" i="1"/>
  <c r="N200" i="1"/>
  <c r="N183" i="1"/>
  <c r="N196" i="1"/>
  <c r="N231" i="1"/>
  <c r="N244" i="1"/>
  <c r="N266" i="1"/>
  <c r="N279" i="1"/>
  <c r="N292" i="1"/>
  <c r="N314" i="1"/>
  <c r="N327" i="1"/>
  <c r="N340" i="1"/>
  <c r="N362" i="1"/>
  <c r="N42" i="1"/>
  <c r="N46" i="1"/>
  <c r="N50" i="1"/>
  <c r="N54" i="1"/>
  <c r="N58" i="1"/>
  <c r="U9" i="1" s="1"/>
  <c r="N62" i="1"/>
  <c r="N66" i="1"/>
  <c r="U24" i="1" s="1"/>
  <c r="N70" i="1"/>
  <c r="N74" i="1"/>
  <c r="U26" i="1" s="1"/>
  <c r="N78" i="1"/>
  <c r="N82" i="1"/>
  <c r="N86" i="1"/>
  <c r="N90" i="1"/>
  <c r="N94" i="1"/>
  <c r="N98" i="1"/>
  <c r="N102" i="1"/>
  <c r="N106" i="1"/>
  <c r="N110" i="1"/>
  <c r="N114" i="1"/>
  <c r="N118" i="1"/>
  <c r="N131" i="1"/>
  <c r="N144" i="1"/>
  <c r="N166" i="1"/>
  <c r="N179" i="1"/>
  <c r="N192" i="1"/>
  <c r="N214" i="1"/>
  <c r="N227" i="1"/>
  <c r="N240" i="1"/>
  <c r="N262" i="1"/>
  <c r="N275" i="1"/>
  <c r="N288" i="1"/>
  <c r="N310" i="1"/>
  <c r="N323" i="1"/>
  <c r="N336" i="1"/>
  <c r="N358" i="1"/>
  <c r="N123" i="1"/>
  <c r="N136" i="1"/>
  <c r="N158" i="1"/>
  <c r="N171" i="1"/>
  <c r="N184" i="1"/>
  <c r="N206" i="1"/>
  <c r="N219" i="1"/>
  <c r="N232" i="1"/>
  <c r="N254" i="1"/>
  <c r="N267" i="1"/>
  <c r="N280" i="1"/>
  <c r="N302" i="1"/>
  <c r="N315" i="1"/>
  <c r="N328" i="1"/>
  <c r="N350" i="1"/>
  <c r="N363" i="1"/>
  <c r="N128" i="1"/>
  <c r="N150" i="1"/>
  <c r="N163" i="1"/>
  <c r="N176" i="1"/>
  <c r="N198" i="1"/>
  <c r="N211" i="1"/>
  <c r="N224" i="1"/>
  <c r="N246" i="1"/>
  <c r="N259" i="1"/>
  <c r="N272" i="1"/>
  <c r="N294" i="1"/>
  <c r="N307" i="1"/>
  <c r="N320" i="1"/>
  <c r="N342" i="1"/>
  <c r="N355" i="1"/>
  <c r="N40" i="1"/>
  <c r="U18" i="1" s="1"/>
  <c r="N44" i="1"/>
  <c r="U27" i="1" s="1"/>
  <c r="N48" i="1"/>
  <c r="N52" i="1"/>
  <c r="U23" i="1" s="1"/>
  <c r="N56" i="1"/>
  <c r="U7" i="1" s="1"/>
  <c r="N60" i="1"/>
  <c r="N64" i="1"/>
  <c r="N68" i="1"/>
  <c r="N72" i="1"/>
  <c r="N76" i="1"/>
  <c r="N80" i="1"/>
  <c r="N84" i="1"/>
  <c r="N88" i="1"/>
  <c r="N92" i="1"/>
  <c r="N96" i="1"/>
  <c r="N100" i="1"/>
  <c r="N104" i="1"/>
  <c r="N108" i="1"/>
  <c r="N112" i="1"/>
  <c r="N116" i="1"/>
  <c r="N120" i="1"/>
  <c r="N142" i="1"/>
  <c r="N155" i="1"/>
  <c r="N168" i="1"/>
  <c r="N190" i="1"/>
  <c r="N203" i="1"/>
  <c r="N216" i="1"/>
  <c r="N238" i="1"/>
  <c r="N251" i="1"/>
  <c r="N264" i="1"/>
  <c r="N286" i="1"/>
  <c r="N299" i="1"/>
  <c r="N312" i="1"/>
  <c r="N334" i="1"/>
  <c r="N347" i="1"/>
  <c r="N360" i="1"/>
  <c r="A2" i="7" l="1"/>
  <c r="C25" i="5"/>
  <c r="C2" i="9"/>
  <c r="U8" i="1"/>
  <c r="U37" i="1"/>
  <c r="U19" i="1"/>
  <c r="U20" i="1"/>
  <c r="U36" i="1"/>
  <c r="U21" i="1"/>
  <c r="U22" i="1"/>
  <c r="U38" i="1"/>
  <c r="U35" i="1"/>
  <c r="U5" i="1"/>
  <c r="W2" i="1"/>
  <c r="Z2" i="1"/>
  <c r="Y2" i="1"/>
  <c r="AA2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<sst xmlns="http://schemas.openxmlformats.org/spreadsheetml/2006/main" count="333" uniqueCount="198">
  <si>
    <t>若判断错误，只需等待。除非可反向操作</t>
  </si>
  <si>
    <t>接受亏损，然后继续</t>
  </si>
  <si>
    <t>总共胜率</t>
  </si>
  <si>
    <t>总盈亏</t>
  </si>
  <si>
    <t>平均盈利金额</t>
  </si>
  <si>
    <t>平均亏损金额</t>
  </si>
  <si>
    <t>盈亏比</t>
  </si>
  <si>
    <t>日期</t>
  </si>
  <si>
    <t>入场理由</t>
  </si>
  <si>
    <t>离场理由/方式</t>
  </si>
  <si>
    <t>方向</t>
  </si>
  <si>
    <t>补充说明</t>
  </si>
  <si>
    <t>错误原因</t>
  </si>
  <si>
    <t>隐</t>
  </si>
  <si>
    <t>限</t>
  </si>
  <si>
    <t>离</t>
  </si>
  <si>
    <t>止</t>
  </si>
  <si>
    <t>记</t>
  </si>
  <si>
    <t>盈亏金额</t>
  </si>
  <si>
    <t>胜率</t>
  </si>
  <si>
    <t>使用次数</t>
  </si>
  <si>
    <t>做多</t>
  </si>
  <si>
    <t>横盘</t>
  </si>
  <si>
    <t>做空</t>
  </si>
  <si>
    <t>上涨</t>
  </si>
  <si>
    <t>回调后的第二次进场信号
, 首次突破通道, 突破前高后产生了更高的高点, 第二次回踩缺口k线, 突破测试</t>
  </si>
  <si>
    <t>交易区间</t>
  </si>
  <si>
    <t>W结构, W 结构突破后的首次回调</t>
  </si>
  <si>
    <t>突破</t>
  </si>
  <si>
    <t>假突破</t>
  </si>
  <si>
    <t>下跌</t>
  </si>
  <si>
    <t>收敛三角旗形</t>
  </si>
  <si>
    <t>当前趋势强势延续</t>
  </si>
  <si>
    <t>回调</t>
  </si>
  <si>
    <t>突破后反转</t>
  </si>
  <si>
    <t>反转k</t>
  </si>
  <si>
    <t>深度回调</t>
  </si>
  <si>
    <t>趋势转换</t>
  </si>
  <si>
    <t>双底/双顶</t>
  </si>
  <si>
    <t>窄交易区间</t>
  </si>
  <si>
    <t>反转失败+第二次入场信号失效</t>
  </si>
  <si>
    <t>首次回调</t>
  </si>
  <si>
    <t>首次反转</t>
  </si>
  <si>
    <t>盈利金额</t>
  </si>
  <si>
    <t>突破失败</t>
  </si>
  <si>
    <t>开盘区间</t>
  </si>
  <si>
    <t>趋势延续（Continuation）</t>
  </si>
  <si>
    <t>多周期共振</t>
  </si>
  <si>
    <t>反转（Reversal）</t>
  </si>
  <si>
    <t>突破（BO）</t>
  </si>
  <si>
    <t>假突破（fBO）</t>
  </si>
  <si>
    <t>计数</t>
  </si>
  <si>
    <t>离场理由</t>
  </si>
  <si>
    <t>逆势交易（Fading a strong trend）</t>
  </si>
  <si>
    <t>盈利单但是提前离场(Letting a winning trade turn to losing)</t>
  </si>
  <si>
    <t>突破/反转判断错误（BW/OL）</t>
  </si>
  <si>
    <t>错误的信号k线（Wrong Signal bar）</t>
  </si>
  <si>
    <t>限价单入场（limit entry）</t>
  </si>
  <si>
    <t>k线未收线就入场（Entry mid-bar）</t>
  </si>
  <si>
    <t>在阻力位买入，在支撑位卖出（buy into resist, sell into support）</t>
  </si>
  <si>
    <t>浮亏加仓（scaling into a losing position）.</t>
  </si>
  <si>
    <t>市场背景理解错误（bad structure reading）</t>
  </si>
  <si>
    <t>是否执行规则？</t>
  </si>
  <si>
    <t>是否情绪稳定？</t>
  </si>
  <si>
    <t>是否做记录？</t>
  </si>
  <si>
    <t>是否提前准备？</t>
  </si>
  <si>
    <t>没有 FOMO？</t>
  </si>
  <si>
    <t>备注</t>
  </si>
  <si>
    <t>✅</t>
  </si>
  <si>
    <t>❌</t>
  </si>
  <si>
    <t>类型</t>
    <phoneticPr fontId="11" type="noConversion"/>
  </si>
  <si>
    <t>交易区间内三推反转</t>
    <phoneticPr fontId="11" type="noConversion"/>
  </si>
  <si>
    <t>回测三推起点</t>
    <phoneticPr fontId="11" type="noConversion"/>
  </si>
  <si>
    <t>交易区间内2ndleg陷阱</t>
    <phoneticPr fontId="11" type="noConversion"/>
  </si>
  <si>
    <t>止盈太远</t>
    <phoneticPr fontId="11" type="noConversion"/>
  </si>
  <si>
    <t>EMA20</t>
    <phoneticPr fontId="11" type="noConversion"/>
  </si>
  <si>
    <t>推保本</t>
    <phoneticPr fontId="11" type="noConversion"/>
  </si>
  <si>
    <t>交易区间确认突破</t>
    <phoneticPr fontId="11" type="noConversion"/>
  </si>
  <si>
    <t>AIL，AIS首次回调</t>
    <phoneticPr fontId="11" type="noConversion"/>
  </si>
  <si>
    <t>牛旗或熊旗</t>
    <phoneticPr fontId="11" type="noConversion"/>
  </si>
  <si>
    <t>移动止盈</t>
    <phoneticPr fontId="11" type="noConversion"/>
  </si>
  <si>
    <t>备注</t>
    <phoneticPr fontId="11" type="noConversion"/>
  </si>
  <si>
    <r>
      <rPr>
        <sz val="11"/>
        <rFont val="微软雅黑"/>
        <family val="2"/>
        <charset val="134"/>
      </rPr>
      <t>止损触发（</t>
    </r>
    <r>
      <rPr>
        <sz val="11"/>
        <rFont val="Calibri"/>
        <family val="2"/>
      </rPr>
      <t>Stop out</t>
    </r>
    <r>
      <rPr>
        <sz val="11"/>
        <rFont val="微软雅黑"/>
        <family val="2"/>
        <charset val="134"/>
      </rPr>
      <t>）</t>
    </r>
    <phoneticPr fontId="11" type="noConversion"/>
  </si>
  <si>
    <t>觉得有逆势压提前止盈</t>
    <phoneticPr fontId="11" type="noConversion"/>
  </si>
  <si>
    <t>嵌套三推楔形</t>
    <phoneticPr fontId="11" type="noConversion"/>
  </si>
  <si>
    <t>三推楔形、信号k</t>
    <phoneticPr fontId="11" type="noConversion"/>
  </si>
  <si>
    <t>三推楔形、双底</t>
    <phoneticPr fontId="11" type="noConversion"/>
  </si>
  <si>
    <t>三重底</t>
    <phoneticPr fontId="11" type="noConversion"/>
  </si>
  <si>
    <r>
      <rPr>
        <sz val="11"/>
        <rFont val="Calibri"/>
        <family val="2"/>
      </rPr>
      <t>1</t>
    </r>
    <r>
      <rPr>
        <sz val="11"/>
        <rFont val="宋体"/>
        <family val="2"/>
        <charset val="134"/>
      </rPr>
      <t>倍</t>
    </r>
    <r>
      <rPr>
        <sz val="11"/>
        <rFont val="Calibri"/>
        <family val="2"/>
      </rPr>
      <t>MM</t>
    </r>
    <phoneticPr fontId="11" type="noConversion"/>
  </si>
  <si>
    <t>三推楔形、双顶</t>
    <phoneticPr fontId="11" type="noConversion"/>
  </si>
  <si>
    <t>交易区间上下沿、信号K</t>
    <phoneticPr fontId="11" type="noConversion"/>
  </si>
  <si>
    <r>
      <rPr>
        <sz val="11"/>
        <rFont val="Calibri"/>
        <family val="2"/>
      </rPr>
      <t>2倍MM</t>
    </r>
  </si>
  <si>
    <r>
      <rPr>
        <sz val="11"/>
        <rFont val="等线"/>
        <family val="2"/>
        <charset val="134"/>
      </rPr>
      <t>趋势线</t>
    </r>
    <phoneticPr fontId="11" type="noConversion"/>
  </si>
  <si>
    <t>交易区间内2ndleg、趋势线</t>
    <phoneticPr fontId="11" type="noConversion"/>
  </si>
  <si>
    <t>EMA20、H/L1</t>
    <phoneticPr fontId="11" type="noConversion"/>
  </si>
  <si>
    <t>交易区间顶低限价单</t>
    <phoneticPr fontId="11" type="noConversion"/>
  </si>
  <si>
    <t>交易区间内2ndleg陷阱、信号K</t>
    <phoneticPr fontId="11" type="noConversion"/>
  </si>
  <si>
    <t>嵌套楔形、高潮、信号K</t>
    <phoneticPr fontId="11" type="noConversion"/>
  </si>
  <si>
    <t>强趋势50%回调</t>
    <phoneticPr fontId="11" type="noConversion"/>
  </si>
  <si>
    <t>三推楔形、EMA20、信号K</t>
    <phoneticPr fontId="11" type="noConversion"/>
  </si>
  <si>
    <t>抛物线楔形、信号K</t>
    <phoneticPr fontId="11" type="noConversion"/>
  </si>
  <si>
    <t>趋势线、信号K</t>
    <phoneticPr fontId="11" type="noConversion"/>
  </si>
  <si>
    <t>H1、L1</t>
    <phoneticPr fontId="11" type="noConversion"/>
  </si>
  <si>
    <t>H2、L2</t>
    <phoneticPr fontId="11" type="noConversion"/>
  </si>
  <si>
    <t>不知道为什么开仓</t>
    <phoneticPr fontId="11" type="noConversion"/>
  </si>
  <si>
    <t>MES</t>
    <phoneticPr fontId="11" type="noConversion"/>
  </si>
  <si>
    <r>
      <rPr>
        <b/>
        <sz val="12"/>
        <color rgb="FF000000"/>
        <rFont val="宋体"/>
        <family val="3"/>
        <charset val="134"/>
      </rPr>
      <t>仓位大小</t>
    </r>
    <r>
      <rPr>
        <b/>
        <sz val="8"/>
        <color rgb="FF000000"/>
        <rFont val="宋体"/>
        <family val="3"/>
        <charset val="134"/>
      </rPr>
      <t xml:space="preserve">
（填数字）</t>
    </r>
  </si>
  <si>
    <r>
      <rPr>
        <sz val="12"/>
        <color rgb="FF000000"/>
        <rFont val="宋体"/>
        <family val="3"/>
        <charset val="134"/>
      </rPr>
      <t xml:space="preserve">盈亏情况
</t>
    </r>
    <r>
      <rPr>
        <b/>
        <sz val="8"/>
        <color rgb="FF000000"/>
        <rFont val="宋体"/>
        <family val="3"/>
        <charset val="134"/>
      </rPr>
      <t>（会自动计算）</t>
    </r>
  </si>
  <si>
    <r>
      <rPr>
        <b/>
        <sz val="12"/>
        <color rgb="FF000000"/>
        <rFont val="宋体"/>
        <family val="3"/>
        <charset val="134"/>
      </rPr>
      <t>盈亏状态</t>
    </r>
    <r>
      <rPr>
        <b/>
        <sz val="8"/>
        <color rgb="FF000000"/>
        <rFont val="宋体"/>
        <family val="3"/>
        <charset val="134"/>
      </rPr>
      <t xml:space="preserve">
（会自动计算）</t>
    </r>
  </si>
  <si>
    <r>
      <rPr>
        <b/>
        <sz val="12"/>
        <color rgb="FF000000"/>
        <rFont val="宋体"/>
        <family val="3"/>
        <charset val="134"/>
      </rPr>
      <t>累计盈亏</t>
    </r>
    <r>
      <rPr>
        <b/>
        <sz val="8"/>
        <color rgb="FF000000"/>
        <rFont val="宋体"/>
        <family val="3"/>
        <charset val="134"/>
      </rPr>
      <t xml:space="preserve">
（会自动计算）</t>
    </r>
  </si>
  <si>
    <r>
      <rPr>
        <sz val="11"/>
        <color rgb="FFFFFFFF"/>
        <rFont val="宋体"/>
        <family val="3"/>
        <charset val="134"/>
      </rPr>
      <t xml:space="preserve">入场原因
</t>
    </r>
    <r>
      <rPr>
        <b/>
        <sz val="8"/>
        <color rgb="FFFFFFFF"/>
        <rFont val="宋体"/>
        <family val="3"/>
        <charset val="134"/>
      </rPr>
      <t>（可以自己定义）</t>
    </r>
  </si>
  <si>
    <t>不知道为什么开仓</t>
  </si>
  <si>
    <t>推保本</t>
  </si>
  <si>
    <t>US500</t>
    <phoneticPr fontId="11" type="noConversion"/>
  </si>
  <si>
    <t>跳空开盘延续</t>
  </si>
  <si>
    <t>跳空开盘延续</t>
    <phoneticPr fontId="11" type="noConversion"/>
  </si>
  <si>
    <t>交易区间内三推反转</t>
  </si>
  <si>
    <t>交易区间内2ndleg陷阱</t>
  </si>
  <si>
    <t>交易区间确认突破</t>
  </si>
  <si>
    <t>AIL，AIS首次回调</t>
  </si>
  <si>
    <t>牛旗或熊旗</t>
  </si>
  <si>
    <t>三推楔形、信号k</t>
  </si>
  <si>
    <t>三推楔形、双底</t>
  </si>
  <si>
    <t>嵌套三推楔形</t>
  </si>
  <si>
    <t>嵌套楔形、高潮、信号K</t>
  </si>
  <si>
    <t>三重底</t>
  </si>
  <si>
    <t>三推楔形、双顶</t>
  </si>
  <si>
    <t>交易区间上下沿、信号K</t>
  </si>
  <si>
    <t>交易区间内2ndleg、趋势线</t>
  </si>
  <si>
    <t>EMA20、H/L1</t>
  </si>
  <si>
    <t>交易区间顶低限价单</t>
  </si>
  <si>
    <t>交易区间内2ndleg陷阱、信号K</t>
  </si>
  <si>
    <t>强趋势50%回调</t>
  </si>
  <si>
    <t>三推楔形、EMA20、信号K</t>
  </si>
  <si>
    <t>抛物线楔形、信号K</t>
  </si>
  <si>
    <t>趋势线、信号K</t>
  </si>
  <si>
    <t>H1、L1</t>
  </si>
  <si>
    <t>H2、L2</t>
  </si>
  <si>
    <t>Long</t>
  </si>
  <si>
    <t>手续费</t>
  </si>
  <si>
    <t>手续费</t>
    <phoneticPr fontId="11" type="noConversion"/>
  </si>
  <si>
    <t>入场净额</t>
    <phoneticPr fontId="11" type="noConversion"/>
  </si>
  <si>
    <t>离场净额1</t>
    <phoneticPr fontId="11" type="noConversion"/>
  </si>
  <si>
    <t>离场净额2</t>
    <phoneticPr fontId="11" type="noConversion"/>
  </si>
  <si>
    <t>开盘大幅高开，预期强势上涨趋势延续，目标位跳空缺口向上1.705倍MM，K4-K6有交易转区间趋势，因此将目标位调整为前高之下提前离场，后续顺利到达原定目标位。</t>
    <phoneticPr fontId="11" type="noConversion"/>
  </si>
  <si>
    <t>觉得有逆势压提前止盈</t>
  </si>
  <si>
    <t>回测通道起点</t>
  </si>
  <si>
    <t>回测通道起点</t>
    <phoneticPr fontId="11" type="noConversion"/>
  </si>
  <si>
    <t>盈亏状态</t>
    <phoneticPr fontId="11" type="noConversion"/>
  </si>
  <si>
    <t>累计盈亏</t>
    <phoneticPr fontId="11" type="noConversion"/>
  </si>
  <si>
    <t>入场类型</t>
    <phoneticPr fontId="11" type="noConversion"/>
  </si>
  <si>
    <t>分析说明</t>
    <phoneticPr fontId="11" type="noConversion"/>
  </si>
  <si>
    <t>入场理由</t>
    <phoneticPr fontId="11" type="noConversion"/>
  </si>
  <si>
    <t>标的</t>
    <phoneticPr fontId="11" type="noConversion"/>
  </si>
  <si>
    <t>开仓均价</t>
    <phoneticPr fontId="11" type="noConversion"/>
  </si>
  <si>
    <t>平仓均价</t>
    <phoneticPr fontId="11" type="noConversion"/>
  </si>
  <si>
    <t>止盈价</t>
    <phoneticPr fontId="11" type="noConversion"/>
  </si>
  <si>
    <t>止损价</t>
    <phoneticPr fontId="11" type="noConversion"/>
  </si>
  <si>
    <t>开仓净额</t>
    <phoneticPr fontId="11" type="noConversion"/>
  </si>
  <si>
    <t>平仓净额</t>
    <phoneticPr fontId="11" type="noConversion"/>
  </si>
  <si>
    <t>复盘图像</t>
    <phoneticPr fontId="11" type="noConversion"/>
  </si>
  <si>
    <t>/</t>
    <phoneticPr fontId="11" type="noConversion"/>
  </si>
  <si>
    <t>盈亏金额</t>
    <phoneticPr fontId="11" type="noConversion"/>
  </si>
  <si>
    <t>多</t>
  </si>
  <si>
    <t>平仓净额2</t>
    <phoneticPr fontId="11" type="noConversion"/>
  </si>
  <si>
    <t>总盈亏</t>
    <phoneticPr fontId="11" type="noConversion"/>
  </si>
  <si>
    <t>回测三推起点</t>
  </si>
  <si>
    <t>止盈太远</t>
  </si>
  <si>
    <t>EMA20</t>
  </si>
  <si>
    <t>移动止盈</t>
  </si>
  <si>
    <t>止损触发（Stop out）</t>
  </si>
  <si>
    <t>1倍MM</t>
  </si>
  <si>
    <t>2倍MM</t>
  </si>
  <si>
    <t>趋势线</t>
  </si>
  <si>
    <t>仓位</t>
    <phoneticPr fontId="11" type="noConversion"/>
  </si>
  <si>
    <t>平均盈利金额</t>
    <phoneticPr fontId="11" type="noConversion"/>
  </si>
  <si>
    <t>平均亏损金额</t>
    <phoneticPr fontId="11" type="noConversion"/>
  </si>
  <si>
    <t>盈亏比</t>
    <phoneticPr fontId="11" type="noConversion"/>
  </si>
  <si>
    <t>总胜率</t>
    <phoneticPr fontId="11" type="noConversion"/>
  </si>
  <si>
    <t>趋势延续</t>
  </si>
  <si>
    <t>趋势延续</t>
    <phoneticPr fontId="11" type="noConversion"/>
  </si>
  <si>
    <t>反转</t>
    <phoneticPr fontId="11" type="noConversion"/>
  </si>
  <si>
    <t>突破</t>
    <phoneticPr fontId="11" type="noConversion"/>
  </si>
  <si>
    <t>假突破</t>
    <phoneticPr fontId="11" type="noConversion"/>
  </si>
  <si>
    <t>逆势交易</t>
    <phoneticPr fontId="11" type="noConversion"/>
  </si>
  <si>
    <t>盈利单但是提前离场</t>
  </si>
  <si>
    <t>盈利单但是提前离场</t>
    <phoneticPr fontId="11" type="noConversion"/>
  </si>
  <si>
    <t>突破/反转判断错误</t>
    <phoneticPr fontId="11" type="noConversion"/>
  </si>
  <si>
    <t>错误的信号k线</t>
    <phoneticPr fontId="11" type="noConversion"/>
  </si>
  <si>
    <t>限价单入场</t>
    <phoneticPr fontId="11" type="noConversion"/>
  </si>
  <si>
    <t>k线未收线就入场</t>
    <phoneticPr fontId="11" type="noConversion"/>
  </si>
  <si>
    <t>在阻力位买入，在支撑位卖出</t>
    <phoneticPr fontId="11" type="noConversion"/>
  </si>
  <si>
    <t>浮亏加仓</t>
    <phoneticPr fontId="11" type="noConversion"/>
  </si>
  <si>
    <t>市场背景理解错误</t>
    <phoneticPr fontId="11" type="noConversion"/>
  </si>
  <si>
    <t>大幅高开，预期强势上涨延续，上涨50%回调处挂限价单0.03手，目标位上涨急速顶点。</t>
    <phoneticPr fontId="11" type="noConversion"/>
  </si>
  <si>
    <t>大幅高开，预期强势上涨趋势延续，目标位跳空缺口向上1.705倍MM，K4-K6有交易转区间趋势，因此将目标位调整为前高之下提前离场，后续顺利到达原定目标位。</t>
    <phoneticPr fontId="11" type="noConversion"/>
  </si>
  <si>
    <t>反转</t>
  </si>
  <si>
    <t>宽通道下跌，双重底反向突破前期高点创新高，回调再次突破新高入场，目标位下跌通道起点。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</si>
</sst>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09]mmm\-yy;@"/>
    <numFmt numFmtId="177" formatCode="0.00_ "/>
    <numFmt numFmtId="178" formatCode=";;;"/>
    <numFmt numFmtId="179" formatCode="yyyy\-mm\-dd\ hh:mm"/>
    <numFmt numFmtId="180" formatCode="yyyy\-mm\-dd\ hh:mm:ss"/>
  </numFmts>
  <fonts count="42" x14ac:knownFonts="1">
    <font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6"/>
      <color rgb="FF00B0F0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name val="Calibri"/>
      <family val="2"/>
    </font>
    <font>
      <sz val="11"/>
      <color rgb="FF00B050"/>
      <name val="Segoe UI Emoji"/>
      <family val="2"/>
    </font>
    <font>
      <sz val="11"/>
      <color rgb="FF00B050"/>
      <name val="等线"/>
      <family val="2"/>
      <charset val="134"/>
      <scheme val="minor"/>
    </font>
    <font>
      <sz val="11"/>
      <color rgb="FFFF0000"/>
      <name val="Segoe UI Emoji"/>
      <family val="2"/>
    </font>
    <font>
      <sz val="11"/>
      <color theme="1"/>
      <name val="Segoe UI Emoji"/>
      <family val="2"/>
    </font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name val="宋体"/>
      <family val="3"/>
      <charset val="134"/>
    </font>
    <font>
      <b/>
      <sz val="11"/>
      <color theme="0"/>
      <name val="宋体"/>
      <family val="3"/>
      <charset val="134"/>
    </font>
    <font>
      <sz val="11"/>
      <name val="微软雅黑"/>
      <family val="2"/>
      <charset val="134"/>
    </font>
    <font>
      <sz val="11"/>
      <name val="Calibri"/>
      <family val="2"/>
    </font>
    <font>
      <sz val="11"/>
      <name val="Calibri"/>
      <family val="2"/>
      <charset val="134"/>
    </font>
    <font>
      <b/>
      <sz val="12"/>
      <color theme="1"/>
      <name val="宋体"/>
      <family val="3"/>
      <charset val="134"/>
    </font>
    <font>
      <sz val="11"/>
      <name val="宋体"/>
      <family val="2"/>
      <charset val="134"/>
    </font>
    <font>
      <sz val="11"/>
      <name val="等线"/>
      <family val="2"/>
      <charset val="134"/>
    </font>
    <font>
      <sz val="11"/>
      <color theme="1"/>
      <name val="宋体"/>
      <family val="3"/>
      <charset val="134"/>
    </font>
    <font>
      <b/>
      <sz val="16"/>
      <name val="宋体"/>
      <family val="3"/>
      <charset val="134"/>
    </font>
    <font>
      <sz val="11"/>
      <color theme="0"/>
      <name val="宋体"/>
      <family val="3"/>
      <charset val="134"/>
    </font>
    <font>
      <sz val="11"/>
      <name val="宋体"/>
      <family val="3"/>
      <charset val="134"/>
    </font>
    <font>
      <b/>
      <sz val="18"/>
      <color theme="0"/>
      <name val="宋体"/>
      <family val="3"/>
      <charset val="134"/>
    </font>
    <font>
      <b/>
      <sz val="14"/>
      <color theme="0"/>
      <name val="宋体"/>
      <family val="3"/>
      <charset val="134"/>
    </font>
    <font>
      <b/>
      <sz val="16"/>
      <color rgb="FFC00000"/>
      <name val="宋体"/>
      <family val="3"/>
      <charset val="134"/>
    </font>
    <font>
      <b/>
      <sz val="20"/>
      <color rgb="FFFF5050"/>
      <name val="宋体"/>
      <family val="3"/>
      <charset val="134"/>
    </font>
    <font>
      <b/>
      <sz val="16"/>
      <color theme="0"/>
      <name val="宋体"/>
      <family val="3"/>
      <charset val="134"/>
    </font>
    <font>
      <b/>
      <sz val="20"/>
      <color rgb="FF33CC99"/>
      <name val="宋体"/>
      <family val="3"/>
      <charset val="134"/>
    </font>
    <font>
      <sz val="11"/>
      <color rgb="FFFFFFFF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8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sz val="11"/>
      <color theme="1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8"/>
      <color rgb="FFFFFFFF"/>
      <name val="宋体"/>
      <family val="3"/>
      <charset val="134"/>
    </font>
    <font>
      <b/>
      <sz val="16"/>
      <color rgb="FFFFFF00"/>
      <name val="宋体"/>
      <family val="3"/>
      <charset val="134"/>
    </font>
    <font>
      <sz val="11"/>
      <color rgb="FFFFFF0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6"/>
      <color theme="1"/>
      <name val="宋体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none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349955748161259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</borders>
  <cellStyleXfs count="3">
    <xf numFmtId="0" fontId="0" fillId="0" borderId="8">
      <alignment vertical="center"/>
    </xf>
    <xf numFmtId="0" fontId="10" fillId="7" borderId="8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</cellStyleXfs>
  <cellXfs count="97">
    <xf numFmtId="0" fontId="0" fillId="0" borderId="0" xfId="0" applyBorder="1">
      <alignment vertical="center"/>
    </xf>
    <xf numFmtId="0" fontId="2" fillId="5" borderId="8" xfId="0" applyFont="1" applyFill="1" applyAlignment="1">
      <alignment horizontal="center" vertical="center"/>
    </xf>
    <xf numFmtId="0" fontId="9" fillId="0" borderId="8" xfId="0" applyFont="1">
      <alignment vertical="center"/>
    </xf>
    <xf numFmtId="0" fontId="1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9" fillId="10" borderId="3" xfId="0" applyFont="1" applyFill="1" applyBorder="1">
      <alignment vertical="center"/>
    </xf>
    <xf numFmtId="0" fontId="9" fillId="10" borderId="5" xfId="0" applyFont="1" applyFill="1" applyBorder="1">
      <alignment vertical="center"/>
    </xf>
    <xf numFmtId="0" fontId="3" fillId="0" borderId="8" xfId="0" applyFont="1" applyAlignment="1">
      <alignment horizontal="center" vertical="center" wrapText="1"/>
    </xf>
    <xf numFmtId="0" fontId="5" fillId="0" borderId="8" xfId="0" applyFont="1" applyAlignment="1">
      <alignment vertical="center" wrapText="1"/>
    </xf>
    <xf numFmtId="14" fontId="9" fillId="0" borderId="8" xfId="0" applyNumberFormat="1" applyFont="1" applyAlignment="1">
      <alignment vertical="center" wrapText="1"/>
    </xf>
    <xf numFmtId="0" fontId="6" fillId="0" borderId="8" xfId="0" applyFont="1" applyAlignment="1">
      <alignment vertical="center" wrapText="1"/>
    </xf>
    <xf numFmtId="0" fontId="7" fillId="0" borderId="8" xfId="0" applyFont="1" applyAlignment="1">
      <alignment vertical="center" wrapText="1"/>
    </xf>
    <xf numFmtId="0" fontId="8" fillId="0" borderId="8" xfId="0" applyFont="1" applyAlignment="1">
      <alignment vertical="center" wrapText="1"/>
    </xf>
    <xf numFmtId="0" fontId="13" fillId="8" borderId="5" xfId="0" applyFont="1" applyFill="1" applyBorder="1">
      <alignment vertical="center"/>
    </xf>
    <xf numFmtId="0" fontId="14" fillId="14" borderId="3" xfId="0" applyFont="1" applyFill="1" applyBorder="1">
      <alignment vertical="center"/>
    </xf>
    <xf numFmtId="0" fontId="15" fillId="14" borderId="3" xfId="0" applyFont="1" applyFill="1" applyBorder="1">
      <alignment vertical="center"/>
    </xf>
    <xf numFmtId="0" fontId="16" fillId="14" borderId="3" xfId="0" applyFont="1" applyFill="1" applyBorder="1">
      <alignment vertical="center"/>
    </xf>
    <xf numFmtId="0" fontId="15" fillId="14" borderId="6" xfId="0" applyFont="1" applyFill="1" applyBorder="1">
      <alignment vertical="center"/>
    </xf>
    <xf numFmtId="0" fontId="17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176" fontId="24" fillId="0" borderId="5" xfId="0" applyNumberFormat="1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27" fillId="0" borderId="5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29" fillId="0" borderId="5" xfId="0" applyFont="1" applyFill="1" applyBorder="1" applyAlignment="1">
      <alignment horizontal="center" vertical="center"/>
    </xf>
    <xf numFmtId="0" fontId="28" fillId="2" borderId="8" xfId="0" applyFont="1" applyFill="1" applyAlignment="1">
      <alignment horizontal="left" vertical="center"/>
    </xf>
    <xf numFmtId="0" fontId="30" fillId="3" borderId="1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20" fillId="0" borderId="0" xfId="0" applyFont="1" applyBorder="1">
      <alignment vertical="center"/>
    </xf>
    <xf numFmtId="0" fontId="17" fillId="4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177" fontId="17" fillId="4" borderId="5" xfId="0" applyNumberFormat="1" applyFont="1" applyFill="1" applyBorder="1" applyAlignment="1">
      <alignment horizontal="center" vertical="center"/>
    </xf>
    <xf numFmtId="10" fontId="13" fillId="6" borderId="1" xfId="0" applyNumberFormat="1" applyFont="1" applyFill="1" applyBorder="1" applyAlignment="1">
      <alignment horizontal="center" vertical="center"/>
    </xf>
    <xf numFmtId="178" fontId="13" fillId="6" borderId="2" xfId="0" applyNumberFormat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177" fontId="22" fillId="0" borderId="3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34" fillId="7" borderId="5" xfId="1" applyFont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3" fillId="5" borderId="5" xfId="1" applyFont="1" applyFill="1" applyBorder="1" applyAlignment="1">
      <alignment horizontal="center" vertical="center"/>
    </xf>
    <xf numFmtId="14" fontId="20" fillId="0" borderId="8" xfId="0" applyNumberFormat="1" applyFont="1">
      <alignment vertical="center"/>
    </xf>
    <xf numFmtId="0" fontId="35" fillId="0" borderId="5" xfId="0" applyFont="1" applyBorder="1" applyAlignment="1">
      <alignment horizontal="center" vertical="center"/>
    </xf>
    <xf numFmtId="0" fontId="36" fillId="8" borderId="3" xfId="0" applyFont="1" applyFill="1" applyBorder="1" applyAlignment="1">
      <alignment vertical="center" wrapText="1"/>
    </xf>
    <xf numFmtId="0" fontId="22" fillId="8" borderId="3" xfId="0" applyFont="1" applyFill="1" applyBorder="1">
      <alignment vertical="center"/>
    </xf>
    <xf numFmtId="0" fontId="13" fillId="8" borderId="3" xfId="0" applyFont="1" applyFill="1" applyBorder="1">
      <alignment vertical="center"/>
    </xf>
    <xf numFmtId="0" fontId="20" fillId="9" borderId="3" xfId="0" applyFont="1" applyFill="1" applyBorder="1">
      <alignment vertical="center"/>
    </xf>
    <xf numFmtId="10" fontId="20" fillId="9" borderId="3" xfId="0" applyNumberFormat="1" applyFont="1" applyFill="1" applyBorder="1">
      <alignment vertical="center"/>
    </xf>
    <xf numFmtId="0" fontId="23" fillId="7" borderId="5" xfId="1" applyFont="1" applyBorder="1" applyAlignment="1">
      <alignment horizontal="center" vertical="center"/>
    </xf>
    <xf numFmtId="0" fontId="23" fillId="9" borderId="3" xfId="0" applyFont="1" applyFill="1" applyBorder="1">
      <alignment vertical="center"/>
    </xf>
    <xf numFmtId="0" fontId="20" fillId="5" borderId="5" xfId="0" applyFont="1" applyFill="1" applyBorder="1" applyAlignment="1">
      <alignment horizontal="center" vertical="center"/>
    </xf>
    <xf numFmtId="0" fontId="23" fillId="9" borderId="3" xfId="0" applyFont="1" applyFill="1" applyBorder="1" applyAlignment="1">
      <alignment vertical="center" wrapText="1"/>
    </xf>
    <xf numFmtId="0" fontId="20" fillId="9" borderId="4" xfId="0" applyFont="1" applyFill="1" applyBorder="1">
      <alignment vertical="center"/>
    </xf>
    <xf numFmtId="10" fontId="20" fillId="5" borderId="8" xfId="0" applyNumberFormat="1" applyFont="1" applyFill="1">
      <alignment vertical="center"/>
    </xf>
    <xf numFmtId="0" fontId="20" fillId="5" borderId="8" xfId="0" applyFont="1" applyFill="1">
      <alignment vertical="center"/>
    </xf>
    <xf numFmtId="10" fontId="38" fillId="5" borderId="8" xfId="0" applyNumberFormat="1" applyFont="1" applyFill="1">
      <alignment vertical="center"/>
    </xf>
    <xf numFmtId="0" fontId="38" fillId="5" borderId="8" xfId="0" applyFont="1" applyFill="1">
      <alignment vertical="center"/>
    </xf>
    <xf numFmtId="0" fontId="39" fillId="5" borderId="8" xfId="0" applyFont="1" applyFill="1">
      <alignment vertical="center"/>
    </xf>
    <xf numFmtId="0" fontId="20" fillId="11" borderId="3" xfId="0" applyFont="1" applyFill="1" applyBorder="1">
      <alignment vertical="center"/>
    </xf>
    <xf numFmtId="0" fontId="40" fillId="11" borderId="3" xfId="0" applyFont="1" applyFill="1" applyBorder="1" applyAlignment="1">
      <alignment horizontal="center" vertical="center"/>
    </xf>
    <xf numFmtId="10" fontId="20" fillId="9" borderId="4" xfId="0" applyNumberFormat="1" applyFont="1" applyFill="1" applyBorder="1">
      <alignment vertical="center"/>
    </xf>
    <xf numFmtId="0" fontId="20" fillId="11" borderId="3" xfId="0" applyFont="1" applyFill="1" applyBorder="1" applyAlignment="1">
      <alignment horizontal="center" vertical="center" wrapText="1"/>
    </xf>
    <xf numFmtId="0" fontId="20" fillId="11" borderId="3" xfId="0" applyFont="1" applyFill="1" applyBorder="1" applyAlignment="1">
      <alignment horizontal="center" vertical="center"/>
    </xf>
    <xf numFmtId="0" fontId="20" fillId="9" borderId="6" xfId="0" applyFont="1" applyFill="1" applyBorder="1">
      <alignment vertical="center"/>
    </xf>
    <xf numFmtId="0" fontId="20" fillId="11" borderId="8" xfId="0" applyFont="1" applyFill="1" applyAlignment="1">
      <alignment horizontal="center" vertical="center"/>
    </xf>
    <xf numFmtId="0" fontId="20" fillId="11" borderId="8" xfId="0" applyFont="1" applyFill="1">
      <alignment vertical="center"/>
    </xf>
    <xf numFmtId="0" fontId="23" fillId="11" borderId="3" xfId="0" applyFont="1" applyFill="1" applyBorder="1" applyAlignment="1">
      <alignment horizontal="center" vertical="center"/>
    </xf>
    <xf numFmtId="0" fontId="20" fillId="0" borderId="8" xfId="0" applyFont="1">
      <alignment vertical="center"/>
    </xf>
    <xf numFmtId="0" fontId="22" fillId="8" borderId="5" xfId="0" applyFont="1" applyFill="1" applyBorder="1">
      <alignment vertical="center"/>
    </xf>
    <xf numFmtId="0" fontId="23" fillId="11" borderId="8" xfId="0" applyFont="1" applyFill="1" applyAlignment="1">
      <alignment horizontal="center" vertical="center"/>
    </xf>
    <xf numFmtId="0" fontId="20" fillId="9" borderId="7" xfId="0" applyFont="1" applyFill="1" applyBorder="1">
      <alignment vertical="center"/>
    </xf>
    <xf numFmtId="0" fontId="40" fillId="9" borderId="7" xfId="0" applyFont="1" applyFill="1" applyBorder="1">
      <alignment vertical="center"/>
    </xf>
    <xf numFmtId="10" fontId="20" fillId="9" borderId="7" xfId="0" applyNumberFormat="1" applyFont="1" applyFill="1" applyBorder="1">
      <alignment vertical="center"/>
    </xf>
    <xf numFmtId="0" fontId="20" fillId="5" borderId="8" xfId="0" applyFont="1" applyFill="1" applyAlignment="1">
      <alignment horizontal="center" vertical="center"/>
    </xf>
    <xf numFmtId="0" fontId="20" fillId="0" borderId="8" xfId="0" applyFont="1" applyBorder="1">
      <alignment vertical="center"/>
    </xf>
    <xf numFmtId="0" fontId="20" fillId="5" borderId="8" xfId="0" applyFont="1" applyFill="1" applyBorder="1">
      <alignment vertical="center"/>
    </xf>
    <xf numFmtId="0" fontId="20" fillId="0" borderId="8" xfId="0" applyFont="1" applyAlignment="1">
      <alignment horizontal="center" vertical="center"/>
    </xf>
    <xf numFmtId="0" fontId="18" fillId="14" borderId="6" xfId="0" applyFont="1" applyFill="1" applyBorder="1">
      <alignment vertical="center"/>
    </xf>
    <xf numFmtId="0" fontId="41" fillId="0" borderId="0" xfId="0" applyFont="1" applyBorder="1" applyAlignment="1">
      <alignment horizontal="center" vertical="center"/>
    </xf>
    <xf numFmtId="0" fontId="41" fillId="0" borderId="0" xfId="0" applyFont="1" applyBorder="1" applyAlignment="1">
      <alignment horizontal="center" vertical="center" wrapText="1"/>
    </xf>
    <xf numFmtId="0" fontId="41" fillId="0" borderId="8" xfId="0" applyFont="1" applyFill="1" applyBorder="1" applyAlignment="1">
      <alignment horizontal="center" vertical="center" wrapText="1"/>
    </xf>
    <xf numFmtId="2" fontId="41" fillId="0" borderId="8" xfId="0" applyNumberFormat="1" applyFont="1" applyFill="1" applyBorder="1" applyAlignment="1">
      <alignment horizontal="center" vertical="center" wrapText="1"/>
    </xf>
    <xf numFmtId="180" fontId="41" fillId="0" borderId="8" xfId="0" applyNumberFormat="1" applyFont="1" applyFill="1" applyBorder="1" applyAlignment="1">
      <alignment horizontal="center" vertical="center" wrapText="1"/>
    </xf>
    <xf numFmtId="2" fontId="41" fillId="0" borderId="0" xfId="0" applyNumberFormat="1" applyFont="1" applyBorder="1" applyAlignment="1">
      <alignment horizontal="center" vertical="center"/>
    </xf>
    <xf numFmtId="9" fontId="41" fillId="0" borderId="0" xfId="2" applyFont="1" applyBorder="1" applyAlignment="1">
      <alignment horizontal="center" vertical="center"/>
    </xf>
    <xf numFmtId="10" fontId="41" fillId="0" borderId="0" xfId="2" applyNumberFormat="1" applyFont="1" applyBorder="1" applyAlignment="1">
      <alignment horizontal="center" vertical="center"/>
    </xf>
    <xf numFmtId="179" fontId="41" fillId="0" borderId="8" xfId="0" applyNumberFormat="1" applyFont="1" applyFill="1" applyBorder="1" applyAlignment="1">
      <alignment horizontal="center" vertical="center" wrapText="1"/>
    </xf>
  </cellXfs>
  <cellStyles count="3">
    <cellStyle name="百分比" xfId="2" builtinId="5"/>
    <cellStyle name="常规" xfId="0" builtinId="0"/>
    <cellStyle name="超链接" xfId="1" builtinId="8"/>
  </cellStyles>
  <dxfs count="12"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5C5C"/>
        </patternFill>
      </fill>
    </dxf>
    <dxf>
      <font>
        <b val="0"/>
        <i val="0"/>
      </font>
      <fill>
        <patternFill>
          <bgColor rgb="FFFF5C5C"/>
        </patternFill>
      </fill>
    </dxf>
    <dxf>
      <font>
        <b val="0"/>
        <i val="0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 patternType="solid">
          <bgColor rgb="FFFF5C5C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5C5C"/>
        </patternFill>
      </fill>
    </dxf>
    <dxf>
      <font>
        <color rgb="FF00B050"/>
      </font>
    </dxf>
    <dxf>
      <font>
        <color rgb="FFFF0000"/>
      </font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5C5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>
                <a:latin typeface="仿宋" panose="02010609060101010101" pitchFamily="49" charset="-122"/>
                <a:ea typeface="仿宋" panose="02010609060101010101" pitchFamily="49" charset="-122"/>
              </a:rPr>
              <a:t>累计盈亏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日志重制!$S$2:$S$200</c:f>
              <c:numCache>
                <c:formatCode>General</c:formatCode>
                <c:ptCount val="199"/>
                <c:pt idx="0">
                  <c:v>10.01</c:v>
                </c:pt>
                <c:pt idx="1">
                  <c:v>10.420000000000025</c:v>
                </c:pt>
                <c:pt idx="2">
                  <c:v>10.55000000000002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2-4C20-8EE2-5FF4D8649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470628304"/>
        <c:axId val="1470630704"/>
      </c:lineChart>
      <c:catAx>
        <c:axId val="1470628304"/>
        <c:scaling>
          <c:orientation val="minMax"/>
        </c:scaling>
        <c:delete val="1"/>
        <c:axPos val="b"/>
        <c:majorTickMark val="none"/>
        <c:minorTickMark val="none"/>
        <c:tickLblPos val="nextTo"/>
        <c:crossAx val="1470630704"/>
        <c:crosses val="autoZero"/>
        <c:auto val="1"/>
        <c:lblAlgn val="ctr"/>
        <c:lblOffset val="100"/>
        <c:noMultiLvlLbl val="0"/>
      </c:catAx>
      <c:valAx>
        <c:axId val="147063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062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 vert="horz" anchor="ctr" anchorCtr="1"/>
          <a:lstStyle/>
          <a:p>
            <a:pPr lvl="0">
              <a:defRPr sz="1400" b="0" i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/>
                <a:ea typeface="Microsoft YaHei"/>
              </a:defRPr>
            </a:pPr>
            <a:r>
              <a:rPr lang="zh-CN" altLang="en-US" b="0" i="0"/>
              <a:t>累计盈亏</a:t>
            </a:r>
          </a:p>
        </c:rich>
      </c:tx>
      <c:overlay val="0"/>
      <c:spPr>
        <a:noFill/>
        <a:ln>
          <a:noFill/>
          <a:headEnd/>
          <a:tailEnd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日志!$O$2</c:f>
              <c:strCache>
                <c:ptCount val="1"/>
                <c:pt idx="0">
                  <c:v>累计盈亏
（会自动计算）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  <a:headEnd/>
              <a:tailEnd/>
            </a:ln>
            <a:effectLst/>
          </c:spPr>
          <c:marker>
            <c:symbol val="none"/>
          </c:marker>
          <c:cat>
            <c:strRef>
              <c:f>日志!$B$3:$B$100</c:f>
              <c:strCache>
                <c:ptCount val="5"/>
                <c:pt idx="0">
                  <c:v>MES</c:v>
                </c:pt>
                <c:pt idx="1">
                  <c:v>US500</c:v>
                </c:pt>
                <c:pt idx="2">
                  <c:v>MES</c:v>
                </c:pt>
                <c:pt idx="3">
                  <c:v>MES</c:v>
                </c:pt>
                <c:pt idx="4">
                  <c:v>MES</c:v>
                </c:pt>
              </c:strCache>
            </c:strRef>
          </c:cat>
          <c:val>
            <c:numRef>
              <c:f>日志!$O$3:$O$100</c:f>
              <c:numCache>
                <c:formatCode>General</c:formatCode>
                <c:ptCount val="98"/>
                <c:pt idx="0">
                  <c:v>10.01</c:v>
                </c:pt>
                <c:pt idx="1">
                  <c:v>0</c:v>
                </c:pt>
                <c:pt idx="2">
                  <c:v>10.01</c:v>
                </c:pt>
                <c:pt idx="3">
                  <c:v>10.01</c:v>
                </c:pt>
                <c:pt idx="4">
                  <c:v>10.01</c:v>
                </c:pt>
                <c:pt idx="5">
                  <c:v>10.01</c:v>
                </c:pt>
                <c:pt idx="6">
                  <c:v>10.01</c:v>
                </c:pt>
                <c:pt idx="7">
                  <c:v>10.01</c:v>
                </c:pt>
                <c:pt idx="8">
                  <c:v>10.01</c:v>
                </c:pt>
                <c:pt idx="9">
                  <c:v>10.01</c:v>
                </c:pt>
                <c:pt idx="10">
                  <c:v>10.01</c:v>
                </c:pt>
                <c:pt idx="11">
                  <c:v>10.01</c:v>
                </c:pt>
                <c:pt idx="12">
                  <c:v>10.01</c:v>
                </c:pt>
                <c:pt idx="13">
                  <c:v>10.01</c:v>
                </c:pt>
                <c:pt idx="14">
                  <c:v>10.01</c:v>
                </c:pt>
                <c:pt idx="15">
                  <c:v>10.01</c:v>
                </c:pt>
                <c:pt idx="16">
                  <c:v>10.01</c:v>
                </c:pt>
                <c:pt idx="17">
                  <c:v>10.01</c:v>
                </c:pt>
                <c:pt idx="18">
                  <c:v>10.01</c:v>
                </c:pt>
                <c:pt idx="19">
                  <c:v>10.01</c:v>
                </c:pt>
                <c:pt idx="20">
                  <c:v>10.01</c:v>
                </c:pt>
                <c:pt idx="21">
                  <c:v>10.01</c:v>
                </c:pt>
                <c:pt idx="22">
                  <c:v>10.01</c:v>
                </c:pt>
                <c:pt idx="23">
                  <c:v>10.01</c:v>
                </c:pt>
                <c:pt idx="24">
                  <c:v>10.01</c:v>
                </c:pt>
                <c:pt idx="25">
                  <c:v>10.01</c:v>
                </c:pt>
                <c:pt idx="26">
                  <c:v>10.01</c:v>
                </c:pt>
                <c:pt idx="27">
                  <c:v>10.01</c:v>
                </c:pt>
                <c:pt idx="28">
                  <c:v>10.01</c:v>
                </c:pt>
                <c:pt idx="29">
                  <c:v>10.01</c:v>
                </c:pt>
                <c:pt idx="30">
                  <c:v>10.01</c:v>
                </c:pt>
                <c:pt idx="31">
                  <c:v>10.01</c:v>
                </c:pt>
                <c:pt idx="32">
                  <c:v>10.01</c:v>
                </c:pt>
                <c:pt idx="33">
                  <c:v>10.01</c:v>
                </c:pt>
                <c:pt idx="34">
                  <c:v>10.01</c:v>
                </c:pt>
                <c:pt idx="35">
                  <c:v>10.01</c:v>
                </c:pt>
                <c:pt idx="36">
                  <c:v>10.01</c:v>
                </c:pt>
                <c:pt idx="37">
                  <c:v>10.01</c:v>
                </c:pt>
                <c:pt idx="38">
                  <c:v>10.01</c:v>
                </c:pt>
                <c:pt idx="39">
                  <c:v>10.01</c:v>
                </c:pt>
                <c:pt idx="40">
                  <c:v>10.01</c:v>
                </c:pt>
                <c:pt idx="41">
                  <c:v>10.01</c:v>
                </c:pt>
                <c:pt idx="42">
                  <c:v>10.01</c:v>
                </c:pt>
                <c:pt idx="43">
                  <c:v>10.01</c:v>
                </c:pt>
                <c:pt idx="44">
                  <c:v>10.01</c:v>
                </c:pt>
                <c:pt idx="45">
                  <c:v>10.01</c:v>
                </c:pt>
                <c:pt idx="46">
                  <c:v>10.01</c:v>
                </c:pt>
                <c:pt idx="47">
                  <c:v>10.01</c:v>
                </c:pt>
                <c:pt idx="48">
                  <c:v>10.01</c:v>
                </c:pt>
                <c:pt idx="49">
                  <c:v>10.01</c:v>
                </c:pt>
                <c:pt idx="50">
                  <c:v>10.01</c:v>
                </c:pt>
                <c:pt idx="51">
                  <c:v>10.01</c:v>
                </c:pt>
                <c:pt idx="52">
                  <c:v>10.01</c:v>
                </c:pt>
                <c:pt idx="53">
                  <c:v>10.01</c:v>
                </c:pt>
                <c:pt idx="54">
                  <c:v>10.01</c:v>
                </c:pt>
                <c:pt idx="55">
                  <c:v>10.01</c:v>
                </c:pt>
                <c:pt idx="56">
                  <c:v>10.01</c:v>
                </c:pt>
                <c:pt idx="57">
                  <c:v>10.01</c:v>
                </c:pt>
                <c:pt idx="58">
                  <c:v>10.01</c:v>
                </c:pt>
                <c:pt idx="59">
                  <c:v>10.01</c:v>
                </c:pt>
                <c:pt idx="60">
                  <c:v>10.01</c:v>
                </c:pt>
                <c:pt idx="61">
                  <c:v>10.01</c:v>
                </c:pt>
                <c:pt idx="62">
                  <c:v>10.01</c:v>
                </c:pt>
                <c:pt idx="63">
                  <c:v>10.01</c:v>
                </c:pt>
                <c:pt idx="64">
                  <c:v>10.01</c:v>
                </c:pt>
                <c:pt idx="65">
                  <c:v>10.01</c:v>
                </c:pt>
                <c:pt idx="66">
                  <c:v>10.01</c:v>
                </c:pt>
                <c:pt idx="67">
                  <c:v>10.01</c:v>
                </c:pt>
                <c:pt idx="68">
                  <c:v>10.01</c:v>
                </c:pt>
                <c:pt idx="69">
                  <c:v>10.01</c:v>
                </c:pt>
                <c:pt idx="70">
                  <c:v>10.01</c:v>
                </c:pt>
                <c:pt idx="71">
                  <c:v>10.01</c:v>
                </c:pt>
                <c:pt idx="72">
                  <c:v>10.01</c:v>
                </c:pt>
                <c:pt idx="73">
                  <c:v>10.01</c:v>
                </c:pt>
                <c:pt idx="74">
                  <c:v>10.01</c:v>
                </c:pt>
                <c:pt idx="75">
                  <c:v>10.01</c:v>
                </c:pt>
                <c:pt idx="76">
                  <c:v>10.01</c:v>
                </c:pt>
                <c:pt idx="77">
                  <c:v>10.01</c:v>
                </c:pt>
                <c:pt idx="78">
                  <c:v>10.01</c:v>
                </c:pt>
                <c:pt idx="79">
                  <c:v>10.01</c:v>
                </c:pt>
                <c:pt idx="80">
                  <c:v>10.01</c:v>
                </c:pt>
                <c:pt idx="81">
                  <c:v>10.01</c:v>
                </c:pt>
                <c:pt idx="82">
                  <c:v>10.01</c:v>
                </c:pt>
                <c:pt idx="83">
                  <c:v>10.01</c:v>
                </c:pt>
                <c:pt idx="84">
                  <c:v>10.01</c:v>
                </c:pt>
                <c:pt idx="85">
                  <c:v>10.01</c:v>
                </c:pt>
                <c:pt idx="86">
                  <c:v>10.01</c:v>
                </c:pt>
                <c:pt idx="87">
                  <c:v>10.01</c:v>
                </c:pt>
                <c:pt idx="88">
                  <c:v>10.01</c:v>
                </c:pt>
                <c:pt idx="89">
                  <c:v>10.01</c:v>
                </c:pt>
                <c:pt idx="90">
                  <c:v>10.01</c:v>
                </c:pt>
                <c:pt idx="91">
                  <c:v>10.01</c:v>
                </c:pt>
                <c:pt idx="92">
                  <c:v>10.01</c:v>
                </c:pt>
                <c:pt idx="93">
                  <c:v>10.01</c:v>
                </c:pt>
                <c:pt idx="94">
                  <c:v>10.01</c:v>
                </c:pt>
                <c:pt idx="95">
                  <c:v>10.01</c:v>
                </c:pt>
                <c:pt idx="96">
                  <c:v>10.01</c:v>
                </c:pt>
                <c:pt idx="97">
                  <c:v>10.01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C8-4A62-A076-891AC06CE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437919"/>
        <c:axId val="760285567"/>
      </c:lineChart>
      <c:catAx>
        <c:axId val="302437919"/>
        <c:scaling>
          <c:orientation val="minMax"/>
        </c:scaling>
        <c:delete val="1"/>
        <c:axPos val="b"/>
        <c:numFmt formatCode="mmm" sourceLinked="0"/>
        <c:majorTickMark val="out"/>
        <c:minorTickMark val="none"/>
        <c:tickLblPos val="nextTo"/>
        <c:crossAx val="760285567"/>
        <c:crosses val="autoZero"/>
        <c:auto val="1"/>
        <c:lblAlgn val="ctr"/>
        <c:lblOffset val="100"/>
        <c:noMultiLvlLbl val="1"/>
      </c:catAx>
      <c:valAx>
        <c:axId val="760285567"/>
        <c:scaling>
          <c:orientation val="minMax"/>
        </c:scaling>
        <c:delete val="0"/>
        <c:axPos val="l"/>
        <c:majorGridlines>
          <c:spPr>
            <a:ln w="9525" cap="flat" cmpd="sng">
              <a:solidFill>
                <a:schemeClr val="tx1">
                  <a:lumMod val="15000"/>
                  <a:lumOff val="85000"/>
                </a:schemeClr>
              </a:solidFill>
              <a:round/>
              <a:headEnd/>
              <a:tailE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  <a:headEnd/>
            <a:tailEnd/>
          </a:ln>
          <a:effectLst/>
        </c:spPr>
        <c:txPr>
          <a:bodyPr vert="horz" anchor="ctr" anchorCtr="1"/>
          <a:lstStyle/>
          <a:p>
            <a:pPr lvl="0"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</a:defRPr>
            </a:pPr>
            <a:endParaRPr lang="zh-CN"/>
          </a:p>
        </c:txPr>
        <c:crossAx val="302437919"/>
        <c:crosses val="autoZero"/>
        <c:crossBetween val="between"/>
      </c:valAx>
      <c:spPr>
        <a:noFill/>
        <a:ln>
          <a:noFill/>
          <a:headEnd/>
          <a:tailEnd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>
      <a:solidFill>
        <a:schemeClr val="tx1"/>
      </a:solidFill>
      <a:round/>
      <a:headEnd/>
      <a:tailEnd/>
    </a:ln>
    <a:effectLst/>
  </c:spPr>
  <c:txPr>
    <a:bodyPr anchorCtr="0"/>
    <a:lstStyle/>
    <a:p>
      <a:pPr lvl="0">
        <a:defRPr b="0" i="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4</xdr:row>
      <xdr:rowOff>95249</xdr:rowOff>
    </xdr:from>
    <xdr:to>
      <xdr:col>19</xdr:col>
      <xdr:colOff>95250</xdr:colOff>
      <xdr:row>15</xdr:row>
      <xdr:rowOff>19049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792DE7A-96BC-5370-2278-540476817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6728</xdr:colOff>
      <xdr:row>3</xdr:row>
      <xdr:rowOff>11314</xdr:rowOff>
    </xdr:from>
    <xdr:to>
      <xdr:col>27</xdr:col>
      <xdr:colOff>109483</xdr:colOff>
      <xdr:row>20</xdr:row>
      <xdr:rowOff>130279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6360-B00D-421E-86F8-E05D6038C35C}">
  <dimension ref="A1:E2"/>
  <sheetViews>
    <sheetView workbookViewId="0">
      <selection activeCell="C3" sqref="C3"/>
    </sheetView>
  </sheetViews>
  <sheetFormatPr defaultRowHeight="20.25" x14ac:dyDescent="0.2"/>
  <cols>
    <col min="1" max="1" width="12" style="88" customWidth="1"/>
    <col min="2" max="2" width="9.625" style="88" bestFit="1" customWidth="1"/>
    <col min="3" max="4" width="18.25" style="88" bestFit="1" customWidth="1"/>
    <col min="5" max="5" width="11.5" style="88" bestFit="1" customWidth="1"/>
    <col min="6" max="16384" width="9" style="88"/>
  </cols>
  <sheetData>
    <row r="1" spans="1:5" x14ac:dyDescent="0.2">
      <c r="A1" s="88" t="s">
        <v>178</v>
      </c>
      <c r="B1" s="88" t="s">
        <v>165</v>
      </c>
      <c r="C1" s="88" t="s">
        <v>175</v>
      </c>
      <c r="D1" s="88" t="s">
        <v>176</v>
      </c>
      <c r="E1" s="88" t="s">
        <v>177</v>
      </c>
    </row>
    <row r="2" spans="1:5" x14ac:dyDescent="0.2">
      <c r="A2" s="95">
        <f>COUNTIF(日志重制!Q:Q,"盈利")/(COUNTIF(日志重制!Q:Q,"盈利")+COUNTIF(日志重制!Q:Q,"亏损"))</f>
        <v>1</v>
      </c>
      <c r="B2" s="88">
        <f>SUM(日志重制!R:R)</f>
        <v>10.55000000000002</v>
      </c>
      <c r="C2" s="88">
        <f>AVERAGEIF(日志重制!R:R,"&gt;0")</f>
        <v>3.5166666666666733</v>
      </c>
      <c r="D2" s="88" t="e">
        <f>AVERAGEIF(日志重制!T:T,"&lt;0")</f>
        <v>#DIV/0!</v>
      </c>
      <c r="E2" s="88" t="e">
        <f>C2/-D2</f>
        <v>#DIV/0!</v>
      </c>
    </row>
  </sheetData>
  <phoneticPr fontId="1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D913-E04B-4936-BE50-1908BF22E4CE}">
  <dimension ref="A1:U200"/>
  <sheetViews>
    <sheetView tabSelected="1" zoomScale="85" zoomScaleNormal="85" workbookViewId="0">
      <selection activeCell="L4" sqref="L4"/>
    </sheetView>
  </sheetViews>
  <sheetFormatPr defaultRowHeight="20.25" x14ac:dyDescent="0.2"/>
  <cols>
    <col min="1" max="1" width="29.75" style="90" bestFit="1" customWidth="1"/>
    <col min="2" max="2" width="10" style="90" bestFit="1" customWidth="1"/>
    <col min="3" max="3" width="20.375" style="90" customWidth="1"/>
    <col min="4" max="4" width="23.5" style="90" customWidth="1"/>
    <col min="5" max="5" width="19.75" style="90" bestFit="1" customWidth="1"/>
    <col min="6" max="6" width="44.75" style="90" customWidth="1"/>
    <col min="7" max="7" width="7.25" style="90" bestFit="1" customWidth="1"/>
    <col min="8" max="8" width="8.5" style="90" customWidth="1"/>
    <col min="9" max="9" width="9.75" style="90" bestFit="1" customWidth="1"/>
    <col min="10" max="10" width="11.875" style="90" customWidth="1"/>
    <col min="11" max="11" width="11.5" style="90" customWidth="1"/>
    <col min="12" max="13" width="11.5" style="90" bestFit="1" customWidth="1"/>
    <col min="14" max="15" width="14.5" style="90" bestFit="1" customWidth="1"/>
    <col min="16" max="16" width="14" style="90" bestFit="1" customWidth="1"/>
    <col min="17" max="18" width="12.5" style="90" bestFit="1" customWidth="1"/>
    <col min="19" max="19" width="12.5" style="90" customWidth="1"/>
    <col min="20" max="20" width="27" style="90" bestFit="1" customWidth="1"/>
    <col min="21" max="21" width="52.875" style="90" customWidth="1"/>
    <col min="22" max="16384" width="9" style="90"/>
  </cols>
  <sheetData>
    <row r="1" spans="1:21" x14ac:dyDescent="0.2">
      <c r="A1" s="90" t="s">
        <v>7</v>
      </c>
      <c r="B1" s="90" t="s">
        <v>153</v>
      </c>
      <c r="C1" s="90" t="s">
        <v>8</v>
      </c>
      <c r="D1" s="90" t="s">
        <v>150</v>
      </c>
      <c r="E1" s="90" t="s">
        <v>9</v>
      </c>
      <c r="F1" s="90" t="s">
        <v>151</v>
      </c>
      <c r="G1" s="90" t="s">
        <v>174</v>
      </c>
      <c r="H1" s="90" t="s">
        <v>10</v>
      </c>
      <c r="I1" s="90" t="s">
        <v>139</v>
      </c>
      <c r="J1" s="90" t="s">
        <v>154</v>
      </c>
      <c r="K1" s="90" t="s">
        <v>155</v>
      </c>
      <c r="L1" s="90" t="s">
        <v>156</v>
      </c>
      <c r="M1" s="90" t="s">
        <v>157</v>
      </c>
      <c r="N1" s="90" t="s">
        <v>158</v>
      </c>
      <c r="O1" s="90" t="s">
        <v>159</v>
      </c>
      <c r="P1" s="90" t="s">
        <v>164</v>
      </c>
      <c r="Q1" s="90" t="s">
        <v>148</v>
      </c>
      <c r="R1" s="90" t="s">
        <v>162</v>
      </c>
      <c r="S1" s="90" t="s">
        <v>149</v>
      </c>
      <c r="T1" s="90" t="s">
        <v>12</v>
      </c>
      <c r="U1" s="90" t="s">
        <v>160</v>
      </c>
    </row>
    <row r="2" spans="1:21" ht="177.75" customHeight="1" x14ac:dyDescent="0.2">
      <c r="A2" s="96">
        <v>46028.947916666664</v>
      </c>
      <c r="B2" s="90" t="s">
        <v>105</v>
      </c>
      <c r="C2" s="90" t="s">
        <v>114</v>
      </c>
      <c r="D2" s="90" t="s">
        <v>179</v>
      </c>
      <c r="E2" s="90" t="s">
        <v>145</v>
      </c>
      <c r="F2" s="90" t="s">
        <v>195</v>
      </c>
      <c r="G2" s="90">
        <v>1</v>
      </c>
      <c r="H2" s="90" t="s">
        <v>163</v>
      </c>
      <c r="I2" s="91">
        <f>0.62*2</f>
        <v>1.24</v>
      </c>
      <c r="J2" s="91">
        <v>6945.75</v>
      </c>
      <c r="K2" s="91">
        <v>6948</v>
      </c>
      <c r="L2" s="91" t="s">
        <v>161</v>
      </c>
      <c r="M2" s="91" t="s">
        <v>161</v>
      </c>
      <c r="N2" s="91">
        <v>34728.75</v>
      </c>
      <c r="O2" s="91">
        <v>34740</v>
      </c>
      <c r="P2" s="91"/>
      <c r="Q2" s="90" t="str">
        <f>_xlfn.IFS(R2&gt;0,"盈利",R2&lt;0,"亏损",R2=0,"打平")</f>
        <v>盈利</v>
      </c>
      <c r="R2" s="90">
        <f>IF(ISBLANK(P2),IF(H2="多",(O2-N2)*G2,(N2-O2)*G2)-I2,IF(H2="多",(O2-N2)*(G2/2)+(P2-N2)*(G2/2)-I2,(N2-O2)*(G2/2)+(N2-P2)*(G2/2))-I2)</f>
        <v>10.01</v>
      </c>
      <c r="S2" s="90">
        <f>SUM($R$2:R2)</f>
        <v>10.01</v>
      </c>
      <c r="T2" s="90" t="s">
        <v>185</v>
      </c>
      <c r="U2" s="47" t="e" vm="1">
        <v>#VALUE!</v>
      </c>
    </row>
    <row r="3" spans="1:21" ht="165" customHeight="1" x14ac:dyDescent="0.2">
      <c r="A3" s="96">
        <v>46029.993055555555</v>
      </c>
      <c r="B3" s="90" t="s">
        <v>113</v>
      </c>
      <c r="C3" s="90" t="s">
        <v>132</v>
      </c>
      <c r="D3" s="90" t="s">
        <v>179</v>
      </c>
      <c r="E3" s="90" t="s">
        <v>146</v>
      </c>
      <c r="F3" s="90" t="s">
        <v>194</v>
      </c>
      <c r="G3" s="90">
        <v>1</v>
      </c>
      <c r="H3" s="90" t="s">
        <v>163</v>
      </c>
      <c r="I3" s="91">
        <v>0</v>
      </c>
      <c r="J3" s="91">
        <v>6923.4</v>
      </c>
      <c r="K3" s="91">
        <v>6937</v>
      </c>
      <c r="L3" s="91">
        <v>6937</v>
      </c>
      <c r="M3" s="91">
        <v>6907</v>
      </c>
      <c r="N3" s="91">
        <v>207.7</v>
      </c>
      <c r="O3" s="91">
        <v>208.11</v>
      </c>
      <c r="P3" s="91"/>
      <c r="Q3" s="90" t="str">
        <f>_xlfn.IFS(R3&gt;0,"盈利",R3&lt;0,"亏损",R3=0,"打平")</f>
        <v>盈利</v>
      </c>
      <c r="R3" s="90">
        <f>IF(ISBLANK(P3),IF(H3="多",(O3-N3)*G3,(N3-O3)*G3)-I3,IF(H3="多",(O3-N3)*(G3/2)+(P3-N3)*(G3/2)-I3,(N3-O3)*(G3/2)+(N3-P3)*(G3/2))-I3)</f>
        <v>0.41000000000002501</v>
      </c>
      <c r="S3" s="90">
        <f>SUM($R$2:R3)</f>
        <v>10.420000000000025</v>
      </c>
      <c r="U3" s="90" t="e" vm="2">
        <v>#VALUE!</v>
      </c>
    </row>
    <row r="4" spans="1:21" ht="165.75" customHeight="1" x14ac:dyDescent="0.2">
      <c r="A4" s="96">
        <v>46029.895833333336</v>
      </c>
      <c r="B4" s="90" t="s">
        <v>113</v>
      </c>
      <c r="C4" s="90" t="s">
        <v>122</v>
      </c>
      <c r="D4" s="90" t="s">
        <v>196</v>
      </c>
      <c r="E4" s="90" t="s">
        <v>146</v>
      </c>
      <c r="F4" s="90" t="s">
        <v>197</v>
      </c>
      <c r="G4" s="90">
        <v>1</v>
      </c>
      <c r="H4" s="90" t="s">
        <v>163</v>
      </c>
      <c r="I4" s="91">
        <v>0</v>
      </c>
      <c r="J4" s="91">
        <v>6498.13</v>
      </c>
      <c r="K4" s="91">
        <v>6952.17</v>
      </c>
      <c r="L4" s="91">
        <v>6952.21</v>
      </c>
      <c r="M4" s="91">
        <v>6943.11</v>
      </c>
      <c r="N4" s="91">
        <v>208.44</v>
      </c>
      <c r="O4" s="91">
        <v>208.57</v>
      </c>
      <c r="P4" s="91"/>
      <c r="Q4" s="90" t="str">
        <f>_xlfn.IFS(R4&gt;0,"盈利",R4&lt;0,"亏损",R4=0,"打平")</f>
        <v>盈利</v>
      </c>
      <c r="R4" s="90">
        <f>IF(ISBLANK(P4),IF(H4="多",(O4-N4)*G4,(N4-O4)*G4)-I4,IF(H4="多",(O4-N4)*(G4/2)+(P4-N4)*(G4/2)-I4,(N4-O4)*(G4/2)+(N4-P4)*(G4/2))-I4)</f>
        <v>0.12999999999999545</v>
      </c>
      <c r="S4" s="90">
        <f>SUM($R$2:R4)</f>
        <v>10.55000000000002</v>
      </c>
      <c r="U4" s="90" t="e" vm="3">
        <v>#VALUE!</v>
      </c>
    </row>
    <row r="5" spans="1:21" x14ac:dyDescent="0.2">
      <c r="A5" s="92"/>
      <c r="I5" s="91"/>
      <c r="J5" s="91"/>
      <c r="K5" s="91"/>
      <c r="L5" s="91"/>
      <c r="M5" s="91"/>
      <c r="N5" s="91"/>
      <c r="O5" s="91"/>
      <c r="P5" s="91"/>
    </row>
    <row r="6" spans="1:21" x14ac:dyDescent="0.2">
      <c r="A6" s="92"/>
      <c r="I6" s="91"/>
      <c r="J6" s="91"/>
      <c r="K6" s="91"/>
      <c r="L6" s="91"/>
      <c r="M6" s="91"/>
      <c r="N6" s="91"/>
      <c r="O6" s="91"/>
      <c r="P6" s="91"/>
    </row>
    <row r="7" spans="1:21" x14ac:dyDescent="0.2">
      <c r="A7" s="92"/>
      <c r="I7" s="91"/>
      <c r="J7" s="91"/>
      <c r="K7" s="91"/>
      <c r="L7" s="91"/>
      <c r="M7" s="91"/>
      <c r="N7" s="91"/>
      <c r="O7" s="91"/>
      <c r="P7" s="91"/>
    </row>
    <row r="8" spans="1:21" x14ac:dyDescent="0.2">
      <c r="A8" s="92"/>
      <c r="I8" s="91"/>
      <c r="J8" s="91"/>
      <c r="K8" s="91"/>
      <c r="L8" s="91"/>
      <c r="M8" s="91"/>
      <c r="N8" s="91"/>
      <c r="O8" s="91"/>
      <c r="P8" s="91"/>
    </row>
    <row r="9" spans="1:21" x14ac:dyDescent="0.2">
      <c r="A9" s="92"/>
      <c r="I9" s="91"/>
      <c r="J9" s="91"/>
      <c r="K9" s="91"/>
      <c r="L9" s="91"/>
      <c r="M9" s="91"/>
      <c r="N9" s="91"/>
      <c r="O9" s="91"/>
      <c r="P9" s="91"/>
    </row>
    <row r="10" spans="1:21" x14ac:dyDescent="0.2">
      <c r="A10" s="92"/>
      <c r="I10" s="91"/>
      <c r="J10" s="91"/>
      <c r="K10" s="91"/>
      <c r="L10" s="91"/>
      <c r="M10" s="91"/>
      <c r="N10" s="91"/>
      <c r="O10" s="91"/>
      <c r="P10" s="91"/>
    </row>
    <row r="11" spans="1:21" x14ac:dyDescent="0.2">
      <c r="A11" s="92"/>
      <c r="I11" s="91"/>
      <c r="J11" s="91"/>
      <c r="K11" s="91"/>
      <c r="L11" s="91"/>
      <c r="M11" s="91"/>
      <c r="N11" s="91"/>
      <c r="O11" s="91"/>
      <c r="P11" s="91"/>
    </row>
    <row r="12" spans="1:21" x14ac:dyDescent="0.2">
      <c r="A12" s="92"/>
      <c r="I12" s="91"/>
      <c r="J12" s="91"/>
      <c r="K12" s="91"/>
      <c r="L12" s="91"/>
      <c r="M12" s="91"/>
      <c r="N12" s="91"/>
      <c r="O12" s="91"/>
      <c r="P12" s="91"/>
    </row>
    <row r="13" spans="1:21" x14ac:dyDescent="0.2">
      <c r="A13" s="92"/>
      <c r="I13" s="91"/>
      <c r="J13" s="91"/>
      <c r="K13" s="91"/>
      <c r="L13" s="91"/>
      <c r="M13" s="91"/>
      <c r="N13" s="91"/>
      <c r="O13" s="91"/>
      <c r="P13" s="91"/>
    </row>
    <row r="14" spans="1:21" x14ac:dyDescent="0.2">
      <c r="A14" s="92"/>
      <c r="I14" s="91"/>
      <c r="J14" s="91"/>
      <c r="K14" s="91"/>
      <c r="L14" s="91"/>
      <c r="M14" s="91"/>
      <c r="N14" s="91"/>
      <c r="O14" s="91"/>
      <c r="P14" s="91"/>
    </row>
    <row r="15" spans="1:21" x14ac:dyDescent="0.2">
      <c r="A15" s="92"/>
      <c r="I15" s="91"/>
      <c r="J15" s="91"/>
      <c r="K15" s="91"/>
      <c r="L15" s="91"/>
      <c r="M15" s="91"/>
      <c r="N15" s="91"/>
      <c r="O15" s="91"/>
      <c r="P15" s="91"/>
    </row>
    <row r="16" spans="1:21" x14ac:dyDescent="0.2">
      <c r="A16" s="92"/>
      <c r="I16" s="91"/>
      <c r="J16" s="91"/>
      <c r="K16" s="91"/>
      <c r="L16" s="91"/>
      <c r="M16" s="91"/>
      <c r="N16" s="91"/>
      <c r="O16" s="91"/>
      <c r="P16" s="91"/>
    </row>
    <row r="17" spans="1:16" x14ac:dyDescent="0.2">
      <c r="A17" s="92"/>
      <c r="I17" s="91"/>
      <c r="J17" s="91"/>
      <c r="K17" s="91"/>
      <c r="L17" s="91"/>
      <c r="M17" s="91"/>
      <c r="N17" s="91"/>
      <c r="O17" s="91"/>
      <c r="P17" s="91"/>
    </row>
    <row r="18" spans="1:16" x14ac:dyDescent="0.2">
      <c r="A18" s="92"/>
      <c r="I18" s="91"/>
      <c r="J18" s="91"/>
      <c r="K18" s="91"/>
      <c r="L18" s="91"/>
      <c r="M18" s="91"/>
      <c r="N18" s="91"/>
      <c r="O18" s="91"/>
      <c r="P18" s="91"/>
    </row>
    <row r="19" spans="1:16" x14ac:dyDescent="0.2">
      <c r="A19" s="92"/>
      <c r="I19" s="91"/>
      <c r="J19" s="91"/>
      <c r="K19" s="91"/>
      <c r="L19" s="91"/>
      <c r="M19" s="91"/>
      <c r="N19" s="91"/>
      <c r="O19" s="91"/>
      <c r="P19" s="91"/>
    </row>
    <row r="20" spans="1:16" x14ac:dyDescent="0.2">
      <c r="A20" s="92"/>
      <c r="I20" s="91"/>
      <c r="J20" s="91"/>
      <c r="K20" s="91"/>
      <c r="L20" s="91"/>
      <c r="M20" s="91"/>
      <c r="N20" s="91"/>
      <c r="O20" s="91"/>
      <c r="P20" s="91"/>
    </row>
    <row r="21" spans="1:16" x14ac:dyDescent="0.2">
      <c r="A21" s="92"/>
      <c r="I21" s="91"/>
      <c r="J21" s="91"/>
      <c r="K21" s="91"/>
      <c r="L21" s="91"/>
      <c r="M21" s="91"/>
      <c r="N21" s="91"/>
      <c r="O21" s="91"/>
      <c r="P21" s="91"/>
    </row>
    <row r="22" spans="1:16" x14ac:dyDescent="0.2">
      <c r="A22" s="92"/>
      <c r="I22" s="91"/>
      <c r="J22" s="91"/>
      <c r="K22" s="91"/>
      <c r="L22" s="91"/>
      <c r="M22" s="91"/>
      <c r="N22" s="91"/>
      <c r="O22" s="91"/>
      <c r="P22" s="91"/>
    </row>
    <row r="23" spans="1:16" x14ac:dyDescent="0.2">
      <c r="A23" s="92"/>
      <c r="I23" s="91"/>
      <c r="J23" s="91"/>
      <c r="K23" s="91"/>
      <c r="L23" s="91"/>
      <c r="M23" s="91"/>
      <c r="N23" s="91"/>
      <c r="O23" s="91"/>
      <c r="P23" s="91"/>
    </row>
    <row r="24" spans="1:16" x14ac:dyDescent="0.2">
      <c r="A24" s="92"/>
      <c r="I24" s="91"/>
      <c r="J24" s="91"/>
      <c r="K24" s="91"/>
      <c r="L24" s="91"/>
      <c r="M24" s="91"/>
      <c r="N24" s="91"/>
      <c r="O24" s="91"/>
      <c r="P24" s="91"/>
    </row>
    <row r="25" spans="1:16" x14ac:dyDescent="0.2">
      <c r="A25" s="92"/>
      <c r="I25" s="91"/>
      <c r="J25" s="91"/>
      <c r="K25" s="91"/>
      <c r="L25" s="91"/>
      <c r="M25" s="91"/>
      <c r="N25" s="91"/>
      <c r="O25" s="91"/>
      <c r="P25" s="91"/>
    </row>
    <row r="26" spans="1:16" x14ac:dyDescent="0.2">
      <c r="A26" s="92"/>
      <c r="I26" s="91"/>
      <c r="J26" s="91"/>
      <c r="K26" s="91"/>
      <c r="L26" s="91"/>
      <c r="M26" s="91"/>
      <c r="N26" s="91"/>
      <c r="O26" s="91"/>
      <c r="P26" s="91"/>
    </row>
    <row r="27" spans="1:16" x14ac:dyDescent="0.2">
      <c r="A27" s="92"/>
      <c r="I27" s="91"/>
      <c r="J27" s="91"/>
      <c r="K27" s="91"/>
      <c r="L27" s="91"/>
      <c r="M27" s="91"/>
      <c r="N27" s="91"/>
      <c r="O27" s="91"/>
      <c r="P27" s="91"/>
    </row>
    <row r="28" spans="1:16" x14ac:dyDescent="0.2">
      <c r="A28" s="92"/>
      <c r="I28" s="91"/>
      <c r="J28" s="91"/>
      <c r="K28" s="91"/>
      <c r="L28" s="91"/>
      <c r="M28" s="91"/>
      <c r="N28" s="91"/>
      <c r="O28" s="91"/>
      <c r="P28" s="91"/>
    </row>
    <row r="29" spans="1:16" x14ac:dyDescent="0.2">
      <c r="A29" s="92"/>
      <c r="I29" s="91"/>
      <c r="J29" s="91"/>
      <c r="K29" s="91"/>
      <c r="L29" s="91"/>
      <c r="M29" s="91"/>
      <c r="N29" s="91"/>
      <c r="O29" s="91"/>
      <c r="P29" s="91"/>
    </row>
    <row r="30" spans="1:16" x14ac:dyDescent="0.2">
      <c r="A30" s="92"/>
      <c r="I30" s="91"/>
      <c r="J30" s="91"/>
      <c r="K30" s="91"/>
      <c r="L30" s="91"/>
      <c r="M30" s="91"/>
      <c r="N30" s="91"/>
      <c r="O30" s="91"/>
      <c r="P30" s="91"/>
    </row>
    <row r="31" spans="1:16" x14ac:dyDescent="0.2">
      <c r="A31" s="92"/>
      <c r="I31" s="91"/>
      <c r="J31" s="91"/>
      <c r="K31" s="91"/>
      <c r="L31" s="91"/>
      <c r="M31" s="91"/>
      <c r="N31" s="91"/>
      <c r="O31" s="91"/>
      <c r="P31" s="91"/>
    </row>
    <row r="32" spans="1:16" x14ac:dyDescent="0.2">
      <c r="A32" s="92"/>
      <c r="I32" s="91"/>
      <c r="J32" s="91"/>
      <c r="K32" s="91"/>
      <c r="L32" s="91"/>
      <c r="M32" s="91"/>
      <c r="N32" s="91"/>
      <c r="O32" s="91"/>
      <c r="P32" s="91"/>
    </row>
    <row r="33" spans="1:16" x14ac:dyDescent="0.2">
      <c r="A33" s="92"/>
      <c r="I33" s="91"/>
      <c r="J33" s="91"/>
      <c r="K33" s="91"/>
      <c r="L33" s="91"/>
      <c r="M33" s="91"/>
      <c r="N33" s="91"/>
      <c r="O33" s="91"/>
      <c r="P33" s="91"/>
    </row>
    <row r="34" spans="1:16" x14ac:dyDescent="0.2">
      <c r="A34" s="92"/>
      <c r="I34" s="91"/>
      <c r="J34" s="91"/>
      <c r="K34" s="91"/>
      <c r="L34" s="91"/>
      <c r="M34" s="91"/>
      <c r="N34" s="91"/>
      <c r="O34" s="91"/>
      <c r="P34" s="91"/>
    </row>
    <row r="35" spans="1:16" x14ac:dyDescent="0.2">
      <c r="A35" s="92"/>
      <c r="I35" s="91"/>
      <c r="J35" s="91"/>
      <c r="K35" s="91"/>
      <c r="L35" s="91"/>
      <c r="M35" s="91"/>
      <c r="N35" s="91"/>
      <c r="O35" s="91"/>
      <c r="P35" s="91"/>
    </row>
    <row r="36" spans="1:16" x14ac:dyDescent="0.2">
      <c r="A36" s="92"/>
      <c r="I36" s="91"/>
      <c r="J36" s="91"/>
      <c r="K36" s="91"/>
      <c r="L36" s="91"/>
      <c r="M36" s="91"/>
      <c r="N36" s="91"/>
      <c r="O36" s="91"/>
      <c r="P36" s="91"/>
    </row>
    <row r="37" spans="1:16" x14ac:dyDescent="0.2">
      <c r="A37" s="92"/>
      <c r="I37" s="91"/>
      <c r="J37" s="91"/>
      <c r="K37" s="91"/>
      <c r="L37" s="91"/>
      <c r="M37" s="91"/>
      <c r="N37" s="91"/>
      <c r="O37" s="91"/>
      <c r="P37" s="91"/>
    </row>
    <row r="38" spans="1:16" x14ac:dyDescent="0.2">
      <c r="A38" s="92"/>
      <c r="I38" s="91"/>
      <c r="J38" s="91"/>
      <c r="K38" s="91"/>
      <c r="L38" s="91"/>
      <c r="M38" s="91"/>
      <c r="N38" s="91"/>
      <c r="O38" s="91"/>
      <c r="P38" s="91"/>
    </row>
    <row r="39" spans="1:16" x14ac:dyDescent="0.2">
      <c r="A39" s="92"/>
      <c r="I39" s="91"/>
      <c r="J39" s="91"/>
      <c r="K39" s="91"/>
      <c r="L39" s="91"/>
      <c r="M39" s="91"/>
      <c r="N39" s="91"/>
      <c r="O39" s="91"/>
      <c r="P39" s="91"/>
    </row>
    <row r="40" spans="1:16" x14ac:dyDescent="0.2">
      <c r="A40" s="92"/>
      <c r="I40" s="91"/>
      <c r="J40" s="91"/>
      <c r="K40" s="91"/>
      <c r="L40" s="91"/>
      <c r="M40" s="91"/>
      <c r="N40" s="91"/>
      <c r="O40" s="91"/>
      <c r="P40" s="91"/>
    </row>
    <row r="41" spans="1:16" x14ac:dyDescent="0.2">
      <c r="A41" s="92"/>
      <c r="I41" s="91"/>
      <c r="J41" s="91"/>
      <c r="K41" s="91"/>
      <c r="L41" s="91"/>
      <c r="M41" s="91"/>
      <c r="N41" s="91"/>
      <c r="O41" s="91"/>
      <c r="P41" s="91"/>
    </row>
    <row r="42" spans="1:16" x14ac:dyDescent="0.2">
      <c r="A42" s="92"/>
      <c r="I42" s="91"/>
      <c r="J42" s="91"/>
      <c r="K42" s="91"/>
      <c r="L42" s="91"/>
      <c r="M42" s="91"/>
      <c r="N42" s="91"/>
      <c r="O42" s="91"/>
      <c r="P42" s="91"/>
    </row>
    <row r="43" spans="1:16" x14ac:dyDescent="0.2">
      <c r="A43" s="92"/>
      <c r="I43" s="91"/>
      <c r="J43" s="91"/>
      <c r="K43" s="91"/>
      <c r="L43" s="91"/>
      <c r="M43" s="91"/>
      <c r="N43" s="91"/>
      <c r="O43" s="91"/>
      <c r="P43" s="91"/>
    </row>
    <row r="44" spans="1:16" x14ac:dyDescent="0.2">
      <c r="A44" s="92"/>
      <c r="I44" s="91"/>
      <c r="J44" s="91"/>
      <c r="K44" s="91"/>
      <c r="L44" s="91"/>
      <c r="M44" s="91"/>
      <c r="N44" s="91"/>
      <c r="O44" s="91"/>
      <c r="P44" s="91"/>
    </row>
    <row r="45" spans="1:16" x14ac:dyDescent="0.2">
      <c r="A45" s="92"/>
      <c r="I45" s="91"/>
      <c r="J45" s="91"/>
      <c r="K45" s="91"/>
      <c r="L45" s="91"/>
      <c r="M45" s="91"/>
      <c r="N45" s="91"/>
      <c r="O45" s="91"/>
      <c r="P45" s="91"/>
    </row>
    <row r="46" spans="1:16" x14ac:dyDescent="0.2">
      <c r="A46" s="92"/>
      <c r="I46" s="91"/>
      <c r="J46" s="91"/>
      <c r="K46" s="91"/>
      <c r="L46" s="91"/>
      <c r="M46" s="91"/>
      <c r="N46" s="91"/>
      <c r="O46" s="91"/>
      <c r="P46" s="91"/>
    </row>
    <row r="47" spans="1:16" x14ac:dyDescent="0.2">
      <c r="A47" s="92"/>
      <c r="I47" s="91"/>
      <c r="J47" s="91"/>
      <c r="K47" s="91"/>
      <c r="L47" s="91"/>
      <c r="M47" s="91"/>
      <c r="N47" s="91"/>
      <c r="O47" s="91"/>
      <c r="P47" s="91"/>
    </row>
    <row r="48" spans="1:16" x14ac:dyDescent="0.2">
      <c r="A48" s="92"/>
      <c r="I48" s="91"/>
      <c r="J48" s="91"/>
      <c r="K48" s="91"/>
      <c r="L48" s="91"/>
      <c r="M48" s="91"/>
      <c r="N48" s="91"/>
      <c r="O48" s="91"/>
      <c r="P48" s="91"/>
    </row>
    <row r="49" spans="1:16" x14ac:dyDescent="0.2">
      <c r="A49" s="92"/>
      <c r="I49" s="91"/>
      <c r="J49" s="91"/>
      <c r="K49" s="91"/>
      <c r="L49" s="91"/>
      <c r="M49" s="91"/>
      <c r="N49" s="91"/>
      <c r="O49" s="91"/>
      <c r="P49" s="91"/>
    </row>
    <row r="50" spans="1:16" x14ac:dyDescent="0.2">
      <c r="A50" s="92"/>
      <c r="I50" s="91"/>
      <c r="J50" s="91"/>
      <c r="K50" s="91"/>
      <c r="L50" s="91"/>
      <c r="M50" s="91"/>
      <c r="N50" s="91"/>
      <c r="O50" s="91"/>
      <c r="P50" s="91"/>
    </row>
    <row r="51" spans="1:16" x14ac:dyDescent="0.2">
      <c r="A51" s="92"/>
      <c r="I51" s="91"/>
      <c r="J51" s="91"/>
      <c r="K51" s="91"/>
      <c r="L51" s="91"/>
      <c r="M51" s="91"/>
      <c r="N51" s="91"/>
      <c r="O51" s="91"/>
      <c r="P51" s="91"/>
    </row>
    <row r="52" spans="1:16" x14ac:dyDescent="0.2">
      <c r="A52" s="92"/>
      <c r="I52" s="91"/>
      <c r="J52" s="91"/>
      <c r="K52" s="91"/>
      <c r="L52" s="91"/>
      <c r="M52" s="91"/>
      <c r="N52" s="91"/>
      <c r="O52" s="91"/>
      <c r="P52" s="91"/>
    </row>
    <row r="53" spans="1:16" x14ac:dyDescent="0.2">
      <c r="A53" s="92"/>
      <c r="I53" s="91"/>
      <c r="J53" s="91"/>
      <c r="K53" s="91"/>
      <c r="L53" s="91"/>
      <c r="M53" s="91"/>
      <c r="N53" s="91"/>
      <c r="O53" s="91"/>
      <c r="P53" s="91"/>
    </row>
    <row r="54" spans="1:16" x14ac:dyDescent="0.2">
      <c r="A54" s="92"/>
      <c r="I54" s="91"/>
      <c r="J54" s="91"/>
      <c r="K54" s="91"/>
      <c r="L54" s="91"/>
      <c r="M54" s="91"/>
      <c r="N54" s="91"/>
      <c r="O54" s="91"/>
      <c r="P54" s="91"/>
    </row>
    <row r="55" spans="1:16" x14ac:dyDescent="0.2">
      <c r="A55" s="92"/>
      <c r="I55" s="91"/>
      <c r="J55" s="91"/>
      <c r="K55" s="91"/>
      <c r="L55" s="91"/>
      <c r="M55" s="91"/>
      <c r="N55" s="91"/>
      <c r="O55" s="91"/>
      <c r="P55" s="91"/>
    </row>
    <row r="56" spans="1:16" x14ac:dyDescent="0.2">
      <c r="A56" s="92"/>
      <c r="I56" s="91"/>
      <c r="J56" s="91"/>
      <c r="K56" s="91"/>
      <c r="L56" s="91"/>
      <c r="M56" s="91"/>
      <c r="N56" s="91"/>
      <c r="O56" s="91"/>
      <c r="P56" s="91"/>
    </row>
    <row r="57" spans="1:16" x14ac:dyDescent="0.2">
      <c r="A57" s="92"/>
      <c r="I57" s="91"/>
      <c r="J57" s="91"/>
      <c r="K57" s="91"/>
      <c r="L57" s="91"/>
      <c r="M57" s="91"/>
      <c r="N57" s="91"/>
      <c r="O57" s="91"/>
      <c r="P57" s="91"/>
    </row>
    <row r="58" spans="1:16" x14ac:dyDescent="0.2">
      <c r="A58" s="92"/>
      <c r="I58" s="91"/>
      <c r="J58" s="91"/>
      <c r="K58" s="91"/>
      <c r="L58" s="91"/>
      <c r="M58" s="91"/>
      <c r="N58" s="91"/>
      <c r="O58" s="91"/>
      <c r="P58" s="91"/>
    </row>
    <row r="59" spans="1:16" x14ac:dyDescent="0.2">
      <c r="A59" s="92"/>
      <c r="I59" s="91"/>
      <c r="J59" s="91"/>
      <c r="K59" s="91"/>
      <c r="L59" s="91"/>
      <c r="M59" s="91"/>
      <c r="N59" s="91"/>
      <c r="O59" s="91"/>
      <c r="P59" s="91"/>
    </row>
    <row r="60" spans="1:16" x14ac:dyDescent="0.2">
      <c r="A60" s="92"/>
      <c r="I60" s="91"/>
      <c r="J60" s="91"/>
      <c r="K60" s="91"/>
      <c r="L60" s="91"/>
      <c r="M60" s="91"/>
      <c r="N60" s="91"/>
      <c r="O60" s="91"/>
      <c r="P60" s="91"/>
    </row>
    <row r="61" spans="1:16" x14ac:dyDescent="0.2">
      <c r="A61" s="92"/>
      <c r="I61" s="91"/>
      <c r="J61" s="91"/>
      <c r="K61" s="91"/>
      <c r="L61" s="91"/>
      <c r="M61" s="91"/>
      <c r="N61" s="91"/>
      <c r="O61" s="91"/>
      <c r="P61" s="91"/>
    </row>
    <row r="62" spans="1:16" x14ac:dyDescent="0.2">
      <c r="A62" s="92"/>
      <c r="I62" s="91"/>
      <c r="J62" s="91"/>
      <c r="K62" s="91"/>
      <c r="L62" s="91"/>
      <c r="M62" s="91"/>
      <c r="N62" s="91"/>
      <c r="O62" s="91"/>
      <c r="P62" s="91"/>
    </row>
    <row r="63" spans="1:16" x14ac:dyDescent="0.2">
      <c r="A63" s="92"/>
      <c r="I63" s="91"/>
      <c r="J63" s="91"/>
      <c r="K63" s="91"/>
      <c r="L63" s="91"/>
      <c r="M63" s="91"/>
      <c r="N63" s="91"/>
      <c r="O63" s="91"/>
      <c r="P63" s="91"/>
    </row>
    <row r="64" spans="1:16" x14ac:dyDescent="0.2">
      <c r="A64" s="92"/>
      <c r="I64" s="91"/>
      <c r="J64" s="91"/>
      <c r="K64" s="91"/>
      <c r="L64" s="91"/>
      <c r="M64" s="91"/>
      <c r="N64" s="91"/>
      <c r="O64" s="91"/>
      <c r="P64" s="91"/>
    </row>
    <row r="65" spans="1:16" x14ac:dyDescent="0.2">
      <c r="A65" s="92"/>
      <c r="I65" s="91"/>
      <c r="J65" s="91"/>
      <c r="K65" s="91"/>
      <c r="L65" s="91"/>
      <c r="M65" s="91"/>
      <c r="N65" s="91"/>
      <c r="O65" s="91"/>
      <c r="P65" s="91"/>
    </row>
    <row r="66" spans="1:16" x14ac:dyDescent="0.2">
      <c r="A66" s="92"/>
      <c r="I66" s="91"/>
      <c r="J66" s="91"/>
      <c r="K66" s="91"/>
      <c r="L66" s="91"/>
      <c r="M66" s="91"/>
      <c r="N66" s="91"/>
      <c r="O66" s="91"/>
      <c r="P66" s="91"/>
    </row>
    <row r="67" spans="1:16" x14ac:dyDescent="0.2">
      <c r="A67" s="92"/>
      <c r="I67" s="91"/>
      <c r="J67" s="91"/>
      <c r="K67" s="91"/>
      <c r="L67" s="91"/>
      <c r="M67" s="91"/>
      <c r="N67" s="91"/>
      <c r="O67" s="91"/>
      <c r="P67" s="91"/>
    </row>
    <row r="68" spans="1:16" x14ac:dyDescent="0.2">
      <c r="A68" s="92"/>
      <c r="I68" s="91"/>
      <c r="J68" s="91"/>
      <c r="K68" s="91"/>
      <c r="L68" s="91"/>
      <c r="M68" s="91"/>
      <c r="N68" s="91"/>
      <c r="O68" s="91"/>
      <c r="P68" s="91"/>
    </row>
    <row r="69" spans="1:16" x14ac:dyDescent="0.2">
      <c r="A69" s="92"/>
      <c r="I69" s="91"/>
      <c r="J69" s="91"/>
      <c r="K69" s="91"/>
      <c r="L69" s="91"/>
      <c r="M69" s="91"/>
      <c r="N69" s="91"/>
      <c r="O69" s="91"/>
      <c r="P69" s="91"/>
    </row>
    <row r="70" spans="1:16" x14ac:dyDescent="0.2">
      <c r="A70" s="92"/>
      <c r="I70" s="91"/>
      <c r="J70" s="91"/>
      <c r="K70" s="91"/>
      <c r="L70" s="91"/>
      <c r="M70" s="91"/>
      <c r="N70" s="91"/>
      <c r="O70" s="91"/>
      <c r="P70" s="91"/>
    </row>
    <row r="71" spans="1:16" x14ac:dyDescent="0.2">
      <c r="A71" s="92"/>
      <c r="I71" s="91"/>
      <c r="J71" s="91"/>
      <c r="K71" s="91"/>
      <c r="L71" s="91"/>
      <c r="M71" s="91"/>
      <c r="N71" s="91"/>
      <c r="O71" s="91"/>
      <c r="P71" s="91"/>
    </row>
    <row r="72" spans="1:16" x14ac:dyDescent="0.2">
      <c r="A72" s="92"/>
      <c r="I72" s="91"/>
      <c r="J72" s="91"/>
      <c r="K72" s="91"/>
      <c r="L72" s="91"/>
      <c r="M72" s="91"/>
      <c r="N72" s="91"/>
      <c r="O72" s="91"/>
      <c r="P72" s="91"/>
    </row>
    <row r="73" spans="1:16" x14ac:dyDescent="0.2">
      <c r="A73" s="92"/>
      <c r="I73" s="91"/>
      <c r="J73" s="91"/>
      <c r="K73" s="91"/>
      <c r="L73" s="91"/>
      <c r="M73" s="91"/>
      <c r="N73" s="91"/>
      <c r="O73" s="91"/>
      <c r="P73" s="91"/>
    </row>
    <row r="74" spans="1:16" x14ac:dyDescent="0.2">
      <c r="A74" s="92"/>
      <c r="I74" s="91"/>
      <c r="J74" s="91"/>
      <c r="K74" s="91"/>
      <c r="L74" s="91"/>
      <c r="M74" s="91"/>
      <c r="N74" s="91"/>
      <c r="O74" s="91"/>
      <c r="P74" s="91"/>
    </row>
    <row r="75" spans="1:16" x14ac:dyDescent="0.2">
      <c r="A75" s="92"/>
      <c r="I75" s="91"/>
      <c r="J75" s="91"/>
      <c r="K75" s="91"/>
      <c r="L75" s="91"/>
      <c r="M75" s="91"/>
      <c r="N75" s="91"/>
      <c r="O75" s="91"/>
      <c r="P75" s="91"/>
    </row>
    <row r="76" spans="1:16" x14ac:dyDescent="0.2">
      <c r="A76" s="92"/>
      <c r="I76" s="91"/>
      <c r="J76" s="91"/>
      <c r="K76" s="91"/>
      <c r="L76" s="91"/>
      <c r="M76" s="91"/>
      <c r="N76" s="91"/>
      <c r="O76" s="91"/>
      <c r="P76" s="91"/>
    </row>
    <row r="77" spans="1:16" x14ac:dyDescent="0.2">
      <c r="A77" s="92"/>
      <c r="I77" s="91"/>
      <c r="J77" s="91"/>
      <c r="K77" s="91"/>
      <c r="L77" s="91"/>
      <c r="M77" s="91"/>
      <c r="N77" s="91"/>
      <c r="O77" s="91"/>
      <c r="P77" s="91"/>
    </row>
    <row r="78" spans="1:16" x14ac:dyDescent="0.2">
      <c r="A78" s="92"/>
      <c r="I78" s="91"/>
      <c r="J78" s="91"/>
      <c r="K78" s="91"/>
      <c r="L78" s="91"/>
      <c r="M78" s="91"/>
      <c r="N78" s="91"/>
      <c r="O78" s="91"/>
      <c r="P78" s="91"/>
    </row>
    <row r="79" spans="1:16" x14ac:dyDescent="0.2">
      <c r="A79" s="92"/>
      <c r="I79" s="91"/>
      <c r="J79" s="91"/>
      <c r="K79" s="91"/>
      <c r="L79" s="91"/>
      <c r="M79" s="91"/>
      <c r="N79" s="91"/>
      <c r="O79" s="91"/>
      <c r="P79" s="91"/>
    </row>
    <row r="80" spans="1:16" x14ac:dyDescent="0.2">
      <c r="A80" s="92"/>
      <c r="I80" s="91"/>
      <c r="J80" s="91"/>
      <c r="K80" s="91"/>
      <c r="L80" s="91"/>
      <c r="M80" s="91"/>
      <c r="N80" s="91"/>
      <c r="O80" s="91"/>
      <c r="P80" s="91"/>
    </row>
    <row r="81" spans="1:16" x14ac:dyDescent="0.2">
      <c r="A81" s="92"/>
      <c r="I81" s="91"/>
      <c r="J81" s="91"/>
      <c r="K81" s="91"/>
      <c r="L81" s="91"/>
      <c r="M81" s="91"/>
      <c r="N81" s="91"/>
      <c r="O81" s="91"/>
      <c r="P81" s="91"/>
    </row>
    <row r="82" spans="1:16" x14ac:dyDescent="0.2">
      <c r="A82" s="92"/>
      <c r="I82" s="91"/>
      <c r="J82" s="91"/>
      <c r="K82" s="91"/>
      <c r="L82" s="91"/>
      <c r="M82" s="91"/>
      <c r="N82" s="91"/>
      <c r="O82" s="91"/>
      <c r="P82" s="91"/>
    </row>
    <row r="83" spans="1:16" x14ac:dyDescent="0.2">
      <c r="A83" s="92"/>
      <c r="I83" s="91"/>
      <c r="J83" s="91"/>
      <c r="K83" s="91"/>
      <c r="L83" s="91"/>
      <c r="M83" s="91"/>
      <c r="N83" s="91"/>
      <c r="O83" s="91"/>
      <c r="P83" s="91"/>
    </row>
    <row r="84" spans="1:16" x14ac:dyDescent="0.2">
      <c r="A84" s="92"/>
      <c r="I84" s="91"/>
      <c r="J84" s="91"/>
      <c r="K84" s="91"/>
      <c r="L84" s="91"/>
      <c r="M84" s="91"/>
      <c r="N84" s="91"/>
      <c r="O84" s="91"/>
      <c r="P84" s="91"/>
    </row>
    <row r="85" spans="1:16" x14ac:dyDescent="0.2">
      <c r="A85" s="92"/>
      <c r="I85" s="91"/>
      <c r="J85" s="91"/>
      <c r="K85" s="91"/>
      <c r="L85" s="91"/>
      <c r="M85" s="91"/>
      <c r="N85" s="91"/>
      <c r="O85" s="91"/>
      <c r="P85" s="91"/>
    </row>
    <row r="86" spans="1:16" x14ac:dyDescent="0.2">
      <c r="A86" s="92"/>
      <c r="I86" s="91"/>
      <c r="J86" s="91"/>
      <c r="K86" s="91"/>
      <c r="L86" s="91"/>
      <c r="M86" s="91"/>
      <c r="N86" s="91"/>
      <c r="O86" s="91"/>
      <c r="P86" s="91"/>
    </row>
    <row r="87" spans="1:16" x14ac:dyDescent="0.2">
      <c r="A87" s="92"/>
      <c r="I87" s="91"/>
      <c r="J87" s="91"/>
      <c r="K87" s="91"/>
      <c r="L87" s="91"/>
      <c r="M87" s="91"/>
      <c r="N87" s="91"/>
      <c r="O87" s="91"/>
      <c r="P87" s="91"/>
    </row>
    <row r="88" spans="1:16" x14ac:dyDescent="0.2">
      <c r="A88" s="92"/>
      <c r="I88" s="91"/>
      <c r="J88" s="91"/>
      <c r="K88" s="91"/>
      <c r="L88" s="91"/>
      <c r="M88" s="91"/>
      <c r="N88" s="91"/>
      <c r="O88" s="91"/>
      <c r="P88" s="91"/>
    </row>
    <row r="89" spans="1:16" x14ac:dyDescent="0.2">
      <c r="A89" s="92"/>
      <c r="I89" s="91"/>
      <c r="J89" s="91"/>
      <c r="K89" s="91"/>
      <c r="L89" s="91"/>
      <c r="M89" s="91"/>
      <c r="N89" s="91"/>
      <c r="O89" s="91"/>
      <c r="P89" s="91"/>
    </row>
    <row r="90" spans="1:16" x14ac:dyDescent="0.2">
      <c r="A90" s="92"/>
      <c r="I90" s="91"/>
      <c r="J90" s="91"/>
      <c r="K90" s="91"/>
      <c r="L90" s="91"/>
      <c r="M90" s="91"/>
      <c r="N90" s="91"/>
      <c r="O90" s="91"/>
      <c r="P90" s="91"/>
    </row>
    <row r="91" spans="1:16" x14ac:dyDescent="0.2">
      <c r="A91" s="92"/>
      <c r="I91" s="91"/>
      <c r="J91" s="91"/>
      <c r="K91" s="91"/>
      <c r="L91" s="91"/>
      <c r="M91" s="91"/>
      <c r="N91" s="91"/>
      <c r="O91" s="91"/>
      <c r="P91" s="91"/>
    </row>
    <row r="92" spans="1:16" x14ac:dyDescent="0.2">
      <c r="A92" s="92"/>
      <c r="I92" s="91"/>
      <c r="J92" s="91"/>
      <c r="K92" s="91"/>
      <c r="L92" s="91"/>
      <c r="M92" s="91"/>
      <c r="N92" s="91"/>
      <c r="O92" s="91"/>
      <c r="P92" s="91"/>
    </row>
    <row r="93" spans="1:16" x14ac:dyDescent="0.2">
      <c r="A93" s="92"/>
      <c r="I93" s="91"/>
      <c r="J93" s="91"/>
      <c r="K93" s="91"/>
      <c r="L93" s="91"/>
      <c r="M93" s="91"/>
      <c r="N93" s="91"/>
      <c r="O93" s="91"/>
      <c r="P93" s="91"/>
    </row>
    <row r="94" spans="1:16" x14ac:dyDescent="0.2">
      <c r="A94" s="92"/>
      <c r="I94" s="91"/>
      <c r="J94" s="91"/>
      <c r="K94" s="91"/>
      <c r="L94" s="91"/>
      <c r="M94" s="91"/>
      <c r="N94" s="91"/>
      <c r="O94" s="91"/>
      <c r="P94" s="91"/>
    </row>
    <row r="95" spans="1:16" x14ac:dyDescent="0.2">
      <c r="A95" s="92"/>
      <c r="I95" s="91"/>
      <c r="J95" s="91"/>
      <c r="K95" s="91"/>
      <c r="L95" s="91"/>
      <c r="M95" s="91"/>
      <c r="N95" s="91"/>
      <c r="O95" s="91"/>
      <c r="P95" s="91"/>
    </row>
    <row r="96" spans="1:16" x14ac:dyDescent="0.2">
      <c r="A96" s="92"/>
      <c r="I96" s="91"/>
      <c r="J96" s="91"/>
      <c r="K96" s="91"/>
      <c r="L96" s="91"/>
      <c r="M96" s="91"/>
      <c r="N96" s="91"/>
      <c r="O96" s="91"/>
      <c r="P96" s="91"/>
    </row>
    <row r="97" spans="1:16" x14ac:dyDescent="0.2">
      <c r="A97" s="92"/>
      <c r="I97" s="91"/>
      <c r="J97" s="91"/>
      <c r="K97" s="91"/>
      <c r="L97" s="91"/>
      <c r="M97" s="91"/>
      <c r="N97" s="91"/>
      <c r="O97" s="91"/>
      <c r="P97" s="91"/>
    </row>
    <row r="98" spans="1:16" x14ac:dyDescent="0.2">
      <c r="A98" s="92"/>
      <c r="I98" s="91"/>
      <c r="J98" s="91"/>
      <c r="K98" s="91"/>
      <c r="L98" s="91"/>
      <c r="M98" s="91"/>
      <c r="N98" s="91"/>
      <c r="O98" s="91"/>
      <c r="P98" s="91"/>
    </row>
    <row r="99" spans="1:16" x14ac:dyDescent="0.2">
      <c r="A99" s="92"/>
      <c r="I99" s="91"/>
      <c r="J99" s="91"/>
      <c r="K99" s="91"/>
      <c r="L99" s="91"/>
      <c r="M99" s="91"/>
      <c r="N99" s="91"/>
      <c r="O99" s="91"/>
      <c r="P99" s="91"/>
    </row>
    <row r="100" spans="1:16" x14ac:dyDescent="0.2">
      <c r="A100" s="92"/>
      <c r="I100" s="91"/>
      <c r="J100" s="91"/>
      <c r="K100" s="91"/>
      <c r="L100" s="91"/>
      <c r="M100" s="91"/>
      <c r="N100" s="91"/>
      <c r="O100" s="91"/>
      <c r="P100" s="91"/>
    </row>
    <row r="101" spans="1:16" x14ac:dyDescent="0.2">
      <c r="A101" s="92"/>
      <c r="I101" s="91"/>
      <c r="J101" s="91"/>
      <c r="K101" s="91"/>
      <c r="L101" s="91"/>
      <c r="M101" s="91"/>
      <c r="N101" s="91"/>
      <c r="O101" s="91"/>
      <c r="P101" s="91"/>
    </row>
    <row r="102" spans="1:16" x14ac:dyDescent="0.2">
      <c r="A102" s="92"/>
      <c r="I102" s="91"/>
      <c r="J102" s="91"/>
      <c r="K102" s="91"/>
      <c r="L102" s="91"/>
      <c r="M102" s="91"/>
      <c r="N102" s="91"/>
      <c r="O102" s="91"/>
      <c r="P102" s="91"/>
    </row>
    <row r="103" spans="1:16" x14ac:dyDescent="0.2">
      <c r="A103" s="92"/>
      <c r="I103" s="91"/>
      <c r="J103" s="91"/>
      <c r="K103" s="91"/>
      <c r="L103" s="91"/>
      <c r="M103" s="91"/>
      <c r="N103" s="91"/>
      <c r="O103" s="91"/>
      <c r="P103" s="91"/>
    </row>
    <row r="104" spans="1:16" x14ac:dyDescent="0.2">
      <c r="A104" s="92"/>
      <c r="I104" s="91"/>
      <c r="J104" s="91"/>
      <c r="K104" s="91"/>
      <c r="L104" s="91"/>
      <c r="M104" s="91"/>
      <c r="N104" s="91"/>
      <c r="O104" s="91"/>
      <c r="P104" s="91"/>
    </row>
    <row r="105" spans="1:16" x14ac:dyDescent="0.2">
      <c r="A105" s="92"/>
      <c r="I105" s="91"/>
      <c r="J105" s="91"/>
      <c r="K105" s="91"/>
      <c r="L105" s="91"/>
      <c r="M105" s="91"/>
      <c r="N105" s="91"/>
      <c r="O105" s="91"/>
      <c r="P105" s="91"/>
    </row>
    <row r="106" spans="1:16" x14ac:dyDescent="0.2">
      <c r="A106" s="92"/>
      <c r="I106" s="91"/>
      <c r="J106" s="91"/>
      <c r="K106" s="91"/>
      <c r="L106" s="91"/>
      <c r="M106" s="91"/>
      <c r="N106" s="91"/>
      <c r="O106" s="91"/>
      <c r="P106" s="91"/>
    </row>
    <row r="107" spans="1:16" x14ac:dyDescent="0.2">
      <c r="A107" s="92"/>
      <c r="I107" s="91"/>
      <c r="J107" s="91"/>
      <c r="K107" s="91"/>
      <c r="L107" s="91"/>
      <c r="M107" s="91"/>
      <c r="N107" s="91"/>
      <c r="O107" s="91"/>
      <c r="P107" s="91"/>
    </row>
    <row r="108" spans="1:16" x14ac:dyDescent="0.2">
      <c r="A108" s="92"/>
      <c r="I108" s="91"/>
      <c r="J108" s="91"/>
      <c r="K108" s="91"/>
      <c r="L108" s="91"/>
      <c r="M108" s="91"/>
      <c r="N108" s="91"/>
      <c r="O108" s="91"/>
      <c r="P108" s="91"/>
    </row>
    <row r="109" spans="1:16" x14ac:dyDescent="0.2">
      <c r="A109" s="92"/>
      <c r="I109" s="91"/>
      <c r="J109" s="91"/>
      <c r="K109" s="91"/>
      <c r="L109" s="91"/>
      <c r="M109" s="91"/>
      <c r="N109" s="91"/>
      <c r="O109" s="91"/>
      <c r="P109" s="91"/>
    </row>
    <row r="110" spans="1:16" x14ac:dyDescent="0.2">
      <c r="A110" s="92"/>
      <c r="I110" s="91"/>
      <c r="J110" s="91"/>
      <c r="K110" s="91"/>
      <c r="L110" s="91"/>
      <c r="M110" s="91"/>
      <c r="N110" s="91"/>
      <c r="O110" s="91"/>
      <c r="P110" s="91"/>
    </row>
    <row r="111" spans="1:16" x14ac:dyDescent="0.2">
      <c r="A111" s="92"/>
      <c r="I111" s="91"/>
      <c r="J111" s="91"/>
      <c r="K111" s="91"/>
      <c r="L111" s="91"/>
      <c r="M111" s="91"/>
      <c r="N111" s="91"/>
      <c r="O111" s="91"/>
      <c r="P111" s="91"/>
    </row>
    <row r="112" spans="1:16" x14ac:dyDescent="0.2">
      <c r="A112" s="92"/>
      <c r="I112" s="91"/>
      <c r="J112" s="91"/>
      <c r="K112" s="91"/>
      <c r="L112" s="91"/>
      <c r="M112" s="91"/>
      <c r="N112" s="91"/>
      <c r="O112" s="91"/>
      <c r="P112" s="91"/>
    </row>
    <row r="113" spans="1:16" x14ac:dyDescent="0.2">
      <c r="A113" s="92"/>
      <c r="I113" s="91"/>
      <c r="J113" s="91"/>
      <c r="K113" s="91"/>
      <c r="L113" s="91"/>
      <c r="M113" s="91"/>
      <c r="N113" s="91"/>
      <c r="O113" s="91"/>
      <c r="P113" s="91"/>
    </row>
    <row r="114" spans="1:16" x14ac:dyDescent="0.2">
      <c r="A114" s="92"/>
      <c r="I114" s="91"/>
      <c r="J114" s="91"/>
      <c r="K114" s="91"/>
      <c r="L114" s="91"/>
      <c r="M114" s="91"/>
      <c r="N114" s="91"/>
      <c r="O114" s="91"/>
      <c r="P114" s="91"/>
    </row>
    <row r="115" spans="1:16" x14ac:dyDescent="0.2">
      <c r="A115" s="92"/>
      <c r="I115" s="91"/>
      <c r="J115" s="91"/>
      <c r="K115" s="91"/>
      <c r="L115" s="91"/>
      <c r="M115" s="91"/>
      <c r="N115" s="91"/>
      <c r="O115" s="91"/>
      <c r="P115" s="91"/>
    </row>
    <row r="116" spans="1:16" x14ac:dyDescent="0.2">
      <c r="A116" s="92"/>
      <c r="I116" s="91"/>
      <c r="J116" s="91"/>
      <c r="K116" s="91"/>
      <c r="L116" s="91"/>
      <c r="M116" s="91"/>
      <c r="N116" s="91"/>
      <c r="O116" s="91"/>
      <c r="P116" s="91"/>
    </row>
    <row r="117" spans="1:16" x14ac:dyDescent="0.2">
      <c r="A117" s="92"/>
      <c r="I117" s="91"/>
      <c r="J117" s="91"/>
      <c r="K117" s="91"/>
      <c r="L117" s="91"/>
      <c r="M117" s="91"/>
      <c r="N117" s="91"/>
      <c r="O117" s="91"/>
      <c r="P117" s="91"/>
    </row>
    <row r="118" spans="1:16" x14ac:dyDescent="0.2">
      <c r="A118" s="92"/>
      <c r="I118" s="91"/>
      <c r="J118" s="91"/>
      <c r="K118" s="91"/>
      <c r="L118" s="91"/>
      <c r="M118" s="91"/>
      <c r="N118" s="91"/>
      <c r="O118" s="91"/>
      <c r="P118" s="91"/>
    </row>
    <row r="119" spans="1:16" x14ac:dyDescent="0.2">
      <c r="A119" s="92"/>
      <c r="I119" s="91"/>
      <c r="J119" s="91"/>
      <c r="K119" s="91"/>
      <c r="L119" s="91"/>
      <c r="M119" s="91"/>
      <c r="N119" s="91"/>
      <c r="O119" s="91"/>
      <c r="P119" s="91"/>
    </row>
    <row r="120" spans="1:16" x14ac:dyDescent="0.2">
      <c r="A120" s="92"/>
      <c r="I120" s="91"/>
      <c r="J120" s="91"/>
      <c r="K120" s="91"/>
      <c r="L120" s="91"/>
      <c r="M120" s="91"/>
      <c r="N120" s="91"/>
      <c r="O120" s="91"/>
      <c r="P120" s="91"/>
    </row>
    <row r="121" spans="1:16" x14ac:dyDescent="0.2">
      <c r="A121" s="92"/>
      <c r="I121" s="91"/>
      <c r="J121" s="91"/>
      <c r="K121" s="91"/>
      <c r="L121" s="91"/>
      <c r="M121" s="91"/>
      <c r="N121" s="91"/>
      <c r="O121" s="91"/>
      <c r="P121" s="91"/>
    </row>
    <row r="122" spans="1:16" x14ac:dyDescent="0.2">
      <c r="A122" s="92"/>
      <c r="I122" s="91"/>
      <c r="J122" s="91"/>
      <c r="K122" s="91"/>
      <c r="L122" s="91"/>
      <c r="M122" s="91"/>
      <c r="N122" s="91"/>
      <c r="O122" s="91"/>
      <c r="P122" s="91"/>
    </row>
    <row r="123" spans="1:16" x14ac:dyDescent="0.2">
      <c r="A123" s="92"/>
      <c r="I123" s="91"/>
      <c r="J123" s="91"/>
      <c r="K123" s="91"/>
      <c r="L123" s="91"/>
      <c r="M123" s="91"/>
      <c r="N123" s="91"/>
      <c r="O123" s="91"/>
      <c r="P123" s="91"/>
    </row>
    <row r="124" spans="1:16" x14ac:dyDescent="0.2">
      <c r="A124" s="92"/>
      <c r="I124" s="91"/>
      <c r="J124" s="91"/>
      <c r="K124" s="91"/>
      <c r="L124" s="91"/>
      <c r="M124" s="91"/>
      <c r="N124" s="91"/>
      <c r="O124" s="91"/>
      <c r="P124" s="91"/>
    </row>
    <row r="125" spans="1:16" x14ac:dyDescent="0.2">
      <c r="A125" s="92"/>
      <c r="I125" s="91"/>
      <c r="J125" s="91"/>
      <c r="K125" s="91"/>
      <c r="L125" s="91"/>
      <c r="M125" s="91"/>
      <c r="N125" s="91"/>
      <c r="O125" s="91"/>
      <c r="P125" s="91"/>
    </row>
    <row r="126" spans="1:16" x14ac:dyDescent="0.2">
      <c r="A126" s="92"/>
      <c r="I126" s="91"/>
      <c r="J126" s="91"/>
      <c r="K126" s="91"/>
      <c r="L126" s="91"/>
      <c r="M126" s="91"/>
      <c r="N126" s="91"/>
      <c r="O126" s="91"/>
      <c r="P126" s="91"/>
    </row>
    <row r="127" spans="1:16" x14ac:dyDescent="0.2">
      <c r="A127" s="92"/>
      <c r="I127" s="91"/>
      <c r="J127" s="91"/>
      <c r="K127" s="91"/>
      <c r="L127" s="91"/>
      <c r="M127" s="91"/>
      <c r="N127" s="91"/>
      <c r="O127" s="91"/>
      <c r="P127" s="91"/>
    </row>
    <row r="128" spans="1:16" x14ac:dyDescent="0.2">
      <c r="A128" s="92"/>
      <c r="I128" s="91"/>
      <c r="J128" s="91"/>
      <c r="K128" s="91"/>
      <c r="L128" s="91"/>
      <c r="M128" s="91"/>
      <c r="N128" s="91"/>
      <c r="O128" s="91"/>
      <c r="P128" s="91"/>
    </row>
    <row r="129" spans="1:16" x14ac:dyDescent="0.2">
      <c r="A129" s="92"/>
      <c r="I129" s="91"/>
      <c r="J129" s="91"/>
      <c r="K129" s="91"/>
      <c r="L129" s="91"/>
      <c r="M129" s="91"/>
      <c r="N129" s="91"/>
      <c r="O129" s="91"/>
      <c r="P129" s="91"/>
    </row>
    <row r="130" spans="1:16" x14ac:dyDescent="0.2">
      <c r="A130" s="92"/>
      <c r="I130" s="91"/>
      <c r="J130" s="91"/>
      <c r="K130" s="91"/>
      <c r="L130" s="91"/>
      <c r="M130" s="91"/>
      <c r="N130" s="91"/>
      <c r="O130" s="91"/>
      <c r="P130" s="91"/>
    </row>
    <row r="131" spans="1:16" x14ac:dyDescent="0.2">
      <c r="A131" s="92"/>
      <c r="I131" s="91"/>
      <c r="J131" s="91"/>
      <c r="K131" s="91"/>
      <c r="L131" s="91"/>
      <c r="M131" s="91"/>
      <c r="N131" s="91"/>
      <c r="O131" s="91"/>
      <c r="P131" s="91"/>
    </row>
    <row r="132" spans="1:16" x14ac:dyDescent="0.2">
      <c r="A132" s="92"/>
      <c r="I132" s="91"/>
      <c r="J132" s="91"/>
      <c r="K132" s="91"/>
      <c r="L132" s="91"/>
      <c r="M132" s="91"/>
      <c r="N132" s="91"/>
      <c r="O132" s="91"/>
      <c r="P132" s="91"/>
    </row>
    <row r="133" spans="1:16" x14ac:dyDescent="0.2">
      <c r="A133" s="92"/>
      <c r="I133" s="91"/>
      <c r="J133" s="91"/>
      <c r="K133" s="91"/>
      <c r="L133" s="91"/>
      <c r="M133" s="91"/>
      <c r="N133" s="91"/>
      <c r="O133" s="91"/>
      <c r="P133" s="91"/>
    </row>
    <row r="134" spans="1:16" x14ac:dyDescent="0.2">
      <c r="A134" s="92"/>
      <c r="I134" s="91"/>
      <c r="J134" s="91"/>
      <c r="K134" s="91"/>
      <c r="L134" s="91"/>
      <c r="M134" s="91"/>
      <c r="N134" s="91"/>
      <c r="O134" s="91"/>
      <c r="P134" s="91"/>
    </row>
    <row r="135" spans="1:16" x14ac:dyDescent="0.2">
      <c r="A135" s="92"/>
      <c r="I135" s="91"/>
      <c r="J135" s="91"/>
      <c r="K135" s="91"/>
      <c r="L135" s="91"/>
      <c r="M135" s="91"/>
      <c r="N135" s="91"/>
      <c r="O135" s="91"/>
      <c r="P135" s="91"/>
    </row>
    <row r="136" spans="1:16" x14ac:dyDescent="0.2">
      <c r="A136" s="92"/>
      <c r="I136" s="91"/>
      <c r="J136" s="91"/>
      <c r="K136" s="91"/>
      <c r="L136" s="91"/>
      <c r="M136" s="91"/>
      <c r="N136" s="91"/>
      <c r="O136" s="91"/>
      <c r="P136" s="91"/>
    </row>
    <row r="137" spans="1:16" x14ac:dyDescent="0.2">
      <c r="A137" s="92"/>
      <c r="I137" s="91"/>
      <c r="J137" s="91"/>
      <c r="K137" s="91"/>
      <c r="L137" s="91"/>
      <c r="M137" s="91"/>
      <c r="N137" s="91"/>
      <c r="O137" s="91"/>
      <c r="P137" s="91"/>
    </row>
    <row r="138" spans="1:16" x14ac:dyDescent="0.2">
      <c r="A138" s="92"/>
      <c r="I138" s="91"/>
      <c r="J138" s="91"/>
      <c r="K138" s="91"/>
      <c r="L138" s="91"/>
      <c r="M138" s="91"/>
      <c r="N138" s="91"/>
      <c r="O138" s="91"/>
      <c r="P138" s="91"/>
    </row>
    <row r="139" spans="1:16" x14ac:dyDescent="0.2">
      <c r="A139" s="92"/>
      <c r="I139" s="91"/>
      <c r="J139" s="91"/>
      <c r="K139" s="91"/>
      <c r="L139" s="91"/>
      <c r="M139" s="91"/>
      <c r="N139" s="91"/>
      <c r="O139" s="91"/>
      <c r="P139" s="91"/>
    </row>
    <row r="140" spans="1:16" x14ac:dyDescent="0.2">
      <c r="A140" s="92"/>
      <c r="I140" s="91"/>
      <c r="J140" s="91"/>
      <c r="K140" s="91"/>
      <c r="L140" s="91"/>
      <c r="M140" s="91"/>
      <c r="N140" s="91"/>
      <c r="O140" s="91"/>
      <c r="P140" s="91"/>
    </row>
    <row r="141" spans="1:16" x14ac:dyDescent="0.2">
      <c r="A141" s="92"/>
      <c r="I141" s="91"/>
      <c r="J141" s="91"/>
      <c r="K141" s="91"/>
      <c r="L141" s="91"/>
      <c r="M141" s="91"/>
      <c r="N141" s="91"/>
      <c r="O141" s="91"/>
      <c r="P141" s="91"/>
    </row>
    <row r="142" spans="1:16" x14ac:dyDescent="0.2">
      <c r="A142" s="92"/>
      <c r="I142" s="91"/>
      <c r="J142" s="91"/>
      <c r="K142" s="91"/>
      <c r="L142" s="91"/>
      <c r="M142" s="91"/>
      <c r="N142" s="91"/>
      <c r="O142" s="91"/>
      <c r="P142" s="91"/>
    </row>
    <row r="143" spans="1:16" x14ac:dyDescent="0.2">
      <c r="A143" s="92"/>
      <c r="I143" s="91"/>
      <c r="J143" s="91"/>
      <c r="K143" s="91"/>
      <c r="L143" s="91"/>
      <c r="M143" s="91"/>
      <c r="N143" s="91"/>
      <c r="O143" s="91"/>
      <c r="P143" s="91"/>
    </row>
    <row r="144" spans="1:16" x14ac:dyDescent="0.2">
      <c r="A144" s="92"/>
      <c r="I144" s="91"/>
      <c r="J144" s="91"/>
      <c r="K144" s="91"/>
      <c r="L144" s="91"/>
      <c r="M144" s="91"/>
      <c r="N144" s="91"/>
      <c r="O144" s="91"/>
      <c r="P144" s="91"/>
    </row>
    <row r="145" spans="1:16" x14ac:dyDescent="0.2">
      <c r="A145" s="92"/>
      <c r="I145" s="91"/>
      <c r="J145" s="91"/>
      <c r="K145" s="91"/>
      <c r="L145" s="91"/>
      <c r="M145" s="91"/>
      <c r="N145" s="91"/>
      <c r="O145" s="91"/>
      <c r="P145" s="91"/>
    </row>
    <row r="146" spans="1:16" x14ac:dyDescent="0.2">
      <c r="A146" s="92"/>
      <c r="I146" s="91"/>
      <c r="J146" s="91"/>
      <c r="K146" s="91"/>
      <c r="L146" s="91"/>
      <c r="M146" s="91"/>
      <c r="N146" s="91"/>
      <c r="O146" s="91"/>
      <c r="P146" s="91"/>
    </row>
    <row r="147" spans="1:16" x14ac:dyDescent="0.2">
      <c r="A147" s="92"/>
      <c r="I147" s="91"/>
      <c r="J147" s="91"/>
      <c r="K147" s="91"/>
      <c r="L147" s="91"/>
      <c r="M147" s="91"/>
      <c r="N147" s="91"/>
      <c r="O147" s="91"/>
      <c r="P147" s="91"/>
    </row>
    <row r="148" spans="1:16" x14ac:dyDescent="0.2">
      <c r="A148" s="92"/>
      <c r="I148" s="91"/>
      <c r="J148" s="91"/>
      <c r="K148" s="91"/>
      <c r="L148" s="91"/>
      <c r="M148" s="91"/>
      <c r="N148" s="91"/>
      <c r="O148" s="91"/>
      <c r="P148" s="91"/>
    </row>
    <row r="149" spans="1:16" x14ac:dyDescent="0.2">
      <c r="A149" s="92"/>
      <c r="I149" s="91"/>
      <c r="J149" s="91"/>
      <c r="K149" s="91"/>
      <c r="L149" s="91"/>
      <c r="M149" s="91"/>
      <c r="N149" s="91"/>
      <c r="O149" s="91"/>
      <c r="P149" s="91"/>
    </row>
    <row r="150" spans="1:16" x14ac:dyDescent="0.2">
      <c r="A150" s="92"/>
      <c r="I150" s="91"/>
      <c r="J150" s="91"/>
      <c r="K150" s="91"/>
      <c r="L150" s="91"/>
      <c r="M150" s="91"/>
      <c r="N150" s="91"/>
      <c r="O150" s="91"/>
      <c r="P150" s="91"/>
    </row>
    <row r="151" spans="1:16" x14ac:dyDescent="0.2">
      <c r="A151" s="92"/>
      <c r="I151" s="91"/>
      <c r="J151" s="91"/>
      <c r="K151" s="91"/>
      <c r="L151" s="91"/>
      <c r="M151" s="91"/>
      <c r="N151" s="91"/>
      <c r="O151" s="91"/>
      <c r="P151" s="91"/>
    </row>
    <row r="152" spans="1:16" x14ac:dyDescent="0.2">
      <c r="A152" s="92"/>
      <c r="I152" s="91"/>
      <c r="J152" s="91"/>
      <c r="K152" s="91"/>
      <c r="L152" s="91"/>
      <c r="M152" s="91"/>
      <c r="N152" s="91"/>
      <c r="O152" s="91"/>
      <c r="P152" s="91"/>
    </row>
    <row r="153" spans="1:16" x14ac:dyDescent="0.2">
      <c r="A153" s="92"/>
      <c r="I153" s="91"/>
      <c r="J153" s="91"/>
      <c r="K153" s="91"/>
      <c r="L153" s="91"/>
      <c r="M153" s="91"/>
      <c r="N153" s="91"/>
      <c r="O153" s="91"/>
      <c r="P153" s="91"/>
    </row>
    <row r="154" spans="1:16" x14ac:dyDescent="0.2">
      <c r="A154" s="92"/>
      <c r="I154" s="91"/>
      <c r="J154" s="91"/>
      <c r="K154" s="91"/>
      <c r="L154" s="91"/>
      <c r="M154" s="91"/>
      <c r="N154" s="91"/>
      <c r="O154" s="91"/>
      <c r="P154" s="91"/>
    </row>
    <row r="155" spans="1:16" x14ac:dyDescent="0.2">
      <c r="A155" s="92"/>
      <c r="I155" s="91"/>
      <c r="J155" s="91"/>
      <c r="K155" s="91"/>
      <c r="L155" s="91"/>
      <c r="M155" s="91"/>
      <c r="N155" s="91"/>
      <c r="O155" s="91"/>
      <c r="P155" s="91"/>
    </row>
    <row r="156" spans="1:16" x14ac:dyDescent="0.2">
      <c r="A156" s="92"/>
      <c r="I156" s="91"/>
      <c r="J156" s="91"/>
      <c r="K156" s="91"/>
      <c r="L156" s="91"/>
      <c r="M156" s="91"/>
      <c r="N156" s="91"/>
      <c r="O156" s="91"/>
      <c r="P156" s="91"/>
    </row>
    <row r="157" spans="1:16" x14ac:dyDescent="0.2">
      <c r="A157" s="92"/>
      <c r="I157" s="91"/>
      <c r="J157" s="91"/>
      <c r="K157" s="91"/>
      <c r="L157" s="91"/>
      <c r="M157" s="91"/>
      <c r="N157" s="91"/>
      <c r="O157" s="91"/>
      <c r="P157" s="91"/>
    </row>
    <row r="158" spans="1:16" x14ac:dyDescent="0.2">
      <c r="A158" s="92"/>
      <c r="I158" s="91"/>
      <c r="J158" s="91"/>
      <c r="K158" s="91"/>
      <c r="L158" s="91"/>
      <c r="M158" s="91"/>
      <c r="N158" s="91"/>
      <c r="O158" s="91"/>
      <c r="P158" s="91"/>
    </row>
    <row r="159" spans="1:16" x14ac:dyDescent="0.2">
      <c r="A159" s="92"/>
      <c r="I159" s="91"/>
      <c r="J159" s="91"/>
      <c r="K159" s="91"/>
      <c r="L159" s="91"/>
      <c r="M159" s="91"/>
      <c r="N159" s="91"/>
      <c r="O159" s="91"/>
      <c r="P159" s="91"/>
    </row>
    <row r="160" spans="1:16" x14ac:dyDescent="0.2">
      <c r="A160" s="92"/>
      <c r="I160" s="91"/>
      <c r="J160" s="91"/>
      <c r="K160" s="91"/>
      <c r="L160" s="91"/>
      <c r="M160" s="91"/>
      <c r="N160" s="91"/>
      <c r="O160" s="91"/>
      <c r="P160" s="91"/>
    </row>
    <row r="161" spans="1:16" x14ac:dyDescent="0.2">
      <c r="A161" s="92"/>
      <c r="I161" s="91"/>
      <c r="J161" s="91"/>
      <c r="K161" s="91"/>
      <c r="L161" s="91"/>
      <c r="M161" s="91"/>
      <c r="N161" s="91"/>
      <c r="O161" s="91"/>
      <c r="P161" s="91"/>
    </row>
    <row r="162" spans="1:16" x14ac:dyDescent="0.2">
      <c r="A162" s="92"/>
      <c r="I162" s="91"/>
      <c r="J162" s="91"/>
      <c r="K162" s="91"/>
      <c r="L162" s="91"/>
      <c r="M162" s="91"/>
      <c r="N162" s="91"/>
      <c r="O162" s="91"/>
      <c r="P162" s="91"/>
    </row>
    <row r="163" spans="1:16" x14ac:dyDescent="0.2">
      <c r="A163" s="92"/>
      <c r="I163" s="91"/>
      <c r="J163" s="91"/>
      <c r="K163" s="91"/>
      <c r="L163" s="91"/>
      <c r="M163" s="91"/>
      <c r="N163" s="91"/>
      <c r="O163" s="91"/>
      <c r="P163" s="91"/>
    </row>
    <row r="164" spans="1:16" x14ac:dyDescent="0.2">
      <c r="A164" s="92"/>
      <c r="I164" s="91"/>
      <c r="J164" s="91"/>
      <c r="K164" s="91"/>
      <c r="L164" s="91"/>
      <c r="M164" s="91"/>
      <c r="N164" s="91"/>
      <c r="O164" s="91"/>
      <c r="P164" s="91"/>
    </row>
    <row r="165" spans="1:16" x14ac:dyDescent="0.2">
      <c r="A165" s="92"/>
      <c r="I165" s="91"/>
      <c r="J165" s="91"/>
      <c r="K165" s="91"/>
      <c r="L165" s="91"/>
      <c r="M165" s="91"/>
      <c r="N165" s="91"/>
      <c r="O165" s="91"/>
      <c r="P165" s="91"/>
    </row>
    <row r="166" spans="1:16" x14ac:dyDescent="0.2">
      <c r="A166" s="92"/>
      <c r="I166" s="91"/>
      <c r="J166" s="91"/>
      <c r="K166" s="91"/>
      <c r="L166" s="91"/>
      <c r="M166" s="91"/>
      <c r="N166" s="91"/>
      <c r="O166" s="91"/>
      <c r="P166" s="91"/>
    </row>
    <row r="167" spans="1:16" x14ac:dyDescent="0.2">
      <c r="A167" s="92"/>
      <c r="I167" s="91"/>
      <c r="J167" s="91"/>
      <c r="K167" s="91"/>
      <c r="L167" s="91"/>
      <c r="M167" s="91"/>
      <c r="N167" s="91"/>
      <c r="O167" s="91"/>
      <c r="P167" s="91"/>
    </row>
    <row r="168" spans="1:16" x14ac:dyDescent="0.2">
      <c r="A168" s="92"/>
      <c r="I168" s="91"/>
      <c r="J168" s="91"/>
      <c r="K168" s="91"/>
      <c r="L168" s="91"/>
      <c r="M168" s="91"/>
      <c r="N168" s="91"/>
      <c r="O168" s="91"/>
      <c r="P168" s="91"/>
    </row>
    <row r="169" spans="1:16" x14ac:dyDescent="0.2">
      <c r="A169" s="92"/>
      <c r="I169" s="91"/>
      <c r="J169" s="91"/>
      <c r="K169" s="91"/>
      <c r="L169" s="91"/>
      <c r="M169" s="91"/>
      <c r="N169" s="91"/>
      <c r="O169" s="91"/>
      <c r="P169" s="91"/>
    </row>
    <row r="170" spans="1:16" x14ac:dyDescent="0.2">
      <c r="A170" s="92"/>
      <c r="I170" s="91"/>
      <c r="J170" s="91"/>
      <c r="K170" s="91"/>
      <c r="L170" s="91"/>
      <c r="M170" s="91"/>
      <c r="N170" s="91"/>
      <c r="O170" s="91"/>
      <c r="P170" s="91"/>
    </row>
    <row r="171" spans="1:16" x14ac:dyDescent="0.2">
      <c r="A171" s="92"/>
      <c r="I171" s="91"/>
      <c r="J171" s="91"/>
      <c r="K171" s="91"/>
      <c r="L171" s="91"/>
      <c r="M171" s="91"/>
      <c r="N171" s="91"/>
      <c r="O171" s="91"/>
      <c r="P171" s="91"/>
    </row>
    <row r="172" spans="1:16" x14ac:dyDescent="0.2">
      <c r="A172" s="92"/>
      <c r="I172" s="91"/>
      <c r="J172" s="91"/>
      <c r="K172" s="91"/>
      <c r="L172" s="91"/>
      <c r="M172" s="91"/>
      <c r="N172" s="91"/>
      <c r="O172" s="91"/>
      <c r="P172" s="91"/>
    </row>
    <row r="173" spans="1:16" x14ac:dyDescent="0.2">
      <c r="A173" s="92"/>
      <c r="I173" s="91"/>
      <c r="J173" s="91"/>
      <c r="K173" s="91"/>
      <c r="L173" s="91"/>
      <c r="M173" s="91"/>
      <c r="N173" s="91"/>
      <c r="O173" s="91"/>
      <c r="P173" s="91"/>
    </row>
    <row r="174" spans="1:16" x14ac:dyDescent="0.2">
      <c r="A174" s="92"/>
      <c r="I174" s="91"/>
      <c r="J174" s="91"/>
      <c r="K174" s="91"/>
      <c r="L174" s="91"/>
      <c r="M174" s="91"/>
      <c r="N174" s="91"/>
      <c r="O174" s="91"/>
      <c r="P174" s="91"/>
    </row>
    <row r="175" spans="1:16" x14ac:dyDescent="0.2">
      <c r="A175" s="92"/>
      <c r="I175" s="91"/>
      <c r="J175" s="91"/>
      <c r="K175" s="91"/>
      <c r="L175" s="91"/>
      <c r="M175" s="91"/>
      <c r="N175" s="91"/>
      <c r="O175" s="91"/>
      <c r="P175" s="91"/>
    </row>
    <row r="176" spans="1:16" x14ac:dyDescent="0.2">
      <c r="A176" s="92"/>
      <c r="I176" s="91"/>
      <c r="J176" s="91"/>
      <c r="K176" s="91"/>
      <c r="L176" s="91"/>
      <c r="M176" s="91"/>
      <c r="N176" s="91"/>
      <c r="O176" s="91"/>
      <c r="P176" s="91"/>
    </row>
    <row r="177" spans="1:16" x14ac:dyDescent="0.2">
      <c r="A177" s="92"/>
      <c r="I177" s="91"/>
      <c r="J177" s="91"/>
      <c r="K177" s="91"/>
      <c r="L177" s="91"/>
      <c r="M177" s="91"/>
      <c r="N177" s="91"/>
      <c r="O177" s="91"/>
      <c r="P177" s="91"/>
    </row>
    <row r="178" spans="1:16" x14ac:dyDescent="0.2">
      <c r="A178" s="92"/>
      <c r="I178" s="91"/>
      <c r="J178" s="91"/>
      <c r="K178" s="91"/>
      <c r="L178" s="91"/>
      <c r="M178" s="91"/>
      <c r="N178" s="91"/>
      <c r="O178" s="91"/>
      <c r="P178" s="91"/>
    </row>
    <row r="179" spans="1:16" x14ac:dyDescent="0.2">
      <c r="A179" s="92"/>
      <c r="I179" s="91"/>
      <c r="J179" s="91"/>
      <c r="K179" s="91"/>
      <c r="L179" s="91"/>
      <c r="M179" s="91"/>
      <c r="N179" s="91"/>
      <c r="O179" s="91"/>
      <c r="P179" s="91"/>
    </row>
    <row r="180" spans="1:16" x14ac:dyDescent="0.2">
      <c r="A180" s="92"/>
      <c r="I180" s="91"/>
      <c r="J180" s="91"/>
      <c r="K180" s="91"/>
      <c r="L180" s="91"/>
      <c r="M180" s="91"/>
      <c r="N180" s="91"/>
      <c r="O180" s="91"/>
      <c r="P180" s="91"/>
    </row>
    <row r="181" spans="1:16" x14ac:dyDescent="0.2">
      <c r="A181" s="92"/>
      <c r="I181" s="91"/>
      <c r="J181" s="91"/>
      <c r="K181" s="91"/>
      <c r="L181" s="91"/>
      <c r="M181" s="91"/>
      <c r="N181" s="91"/>
      <c r="O181" s="91"/>
      <c r="P181" s="91"/>
    </row>
    <row r="182" spans="1:16" x14ac:dyDescent="0.2">
      <c r="A182" s="92"/>
      <c r="I182" s="91"/>
      <c r="J182" s="91"/>
      <c r="K182" s="91"/>
      <c r="L182" s="91"/>
      <c r="M182" s="91"/>
      <c r="N182" s="91"/>
      <c r="O182" s="91"/>
      <c r="P182" s="91"/>
    </row>
    <row r="183" spans="1:16" x14ac:dyDescent="0.2">
      <c r="A183" s="92"/>
      <c r="I183" s="91"/>
      <c r="J183" s="91"/>
      <c r="K183" s="91"/>
      <c r="L183" s="91"/>
      <c r="M183" s="91"/>
      <c r="N183" s="91"/>
      <c r="O183" s="91"/>
      <c r="P183" s="91"/>
    </row>
    <row r="184" spans="1:16" x14ac:dyDescent="0.2">
      <c r="A184" s="92"/>
      <c r="I184" s="91"/>
      <c r="J184" s="91"/>
      <c r="K184" s="91"/>
      <c r="L184" s="91"/>
      <c r="M184" s="91"/>
      <c r="N184" s="91"/>
      <c r="O184" s="91"/>
      <c r="P184" s="91"/>
    </row>
    <row r="185" spans="1:16" x14ac:dyDescent="0.2">
      <c r="A185" s="92"/>
      <c r="I185" s="91"/>
      <c r="J185" s="91"/>
      <c r="K185" s="91"/>
      <c r="L185" s="91"/>
      <c r="M185" s="91"/>
      <c r="N185" s="91"/>
      <c r="O185" s="91"/>
      <c r="P185" s="91"/>
    </row>
    <row r="186" spans="1:16" x14ac:dyDescent="0.2">
      <c r="A186" s="92"/>
      <c r="I186" s="91"/>
      <c r="J186" s="91"/>
      <c r="K186" s="91"/>
      <c r="L186" s="91"/>
      <c r="M186" s="91"/>
      <c r="N186" s="91"/>
      <c r="O186" s="91"/>
      <c r="P186" s="91"/>
    </row>
    <row r="187" spans="1:16" x14ac:dyDescent="0.2">
      <c r="A187" s="92"/>
      <c r="I187" s="91"/>
      <c r="J187" s="91"/>
      <c r="K187" s="91"/>
      <c r="L187" s="91"/>
      <c r="M187" s="91"/>
      <c r="N187" s="91"/>
      <c r="O187" s="91"/>
      <c r="P187" s="91"/>
    </row>
    <row r="188" spans="1:16" x14ac:dyDescent="0.2">
      <c r="A188" s="92"/>
      <c r="I188" s="91"/>
      <c r="J188" s="91"/>
      <c r="K188" s="91"/>
      <c r="L188" s="91"/>
      <c r="M188" s="91"/>
      <c r="N188" s="91"/>
      <c r="O188" s="91"/>
      <c r="P188" s="91"/>
    </row>
    <row r="189" spans="1:16" x14ac:dyDescent="0.2">
      <c r="A189" s="92"/>
      <c r="I189" s="91"/>
      <c r="J189" s="91"/>
      <c r="K189" s="91"/>
      <c r="L189" s="91"/>
      <c r="M189" s="91"/>
      <c r="N189" s="91"/>
      <c r="O189" s="91"/>
      <c r="P189" s="91"/>
    </row>
    <row r="190" spans="1:16" x14ac:dyDescent="0.2">
      <c r="A190" s="92"/>
      <c r="I190" s="91"/>
      <c r="J190" s="91"/>
      <c r="K190" s="91"/>
      <c r="L190" s="91"/>
      <c r="M190" s="91"/>
      <c r="N190" s="91"/>
      <c r="O190" s="91"/>
      <c r="P190" s="91"/>
    </row>
    <row r="191" spans="1:16" x14ac:dyDescent="0.2">
      <c r="A191" s="92"/>
      <c r="I191" s="91"/>
      <c r="J191" s="91"/>
      <c r="K191" s="91"/>
      <c r="L191" s="91"/>
      <c r="M191" s="91"/>
      <c r="N191" s="91"/>
      <c r="O191" s="91"/>
      <c r="P191" s="91"/>
    </row>
    <row r="192" spans="1:16" x14ac:dyDescent="0.2">
      <c r="A192" s="92"/>
      <c r="I192" s="91"/>
      <c r="J192" s="91"/>
      <c r="K192" s="91"/>
      <c r="L192" s="91"/>
      <c r="M192" s="91"/>
      <c r="N192" s="91"/>
      <c r="O192" s="91"/>
      <c r="P192" s="91"/>
    </row>
    <row r="193" spans="1:16" x14ac:dyDescent="0.2">
      <c r="A193" s="92"/>
      <c r="I193" s="91"/>
      <c r="J193" s="91"/>
      <c r="K193" s="91"/>
      <c r="L193" s="91"/>
      <c r="M193" s="91"/>
      <c r="N193" s="91"/>
      <c r="O193" s="91"/>
      <c r="P193" s="91"/>
    </row>
    <row r="194" spans="1:16" x14ac:dyDescent="0.2">
      <c r="A194" s="92"/>
      <c r="I194" s="91"/>
      <c r="J194" s="91"/>
      <c r="K194" s="91"/>
      <c r="L194" s="91"/>
      <c r="M194" s="91"/>
      <c r="N194" s="91"/>
      <c r="O194" s="91"/>
      <c r="P194" s="91"/>
    </row>
    <row r="195" spans="1:16" x14ac:dyDescent="0.2">
      <c r="A195" s="92"/>
      <c r="I195" s="91"/>
      <c r="J195" s="91"/>
      <c r="K195" s="91"/>
      <c r="L195" s="91"/>
      <c r="M195" s="91"/>
      <c r="N195" s="91"/>
      <c r="O195" s="91"/>
      <c r="P195" s="91"/>
    </row>
    <row r="196" spans="1:16" x14ac:dyDescent="0.2">
      <c r="A196" s="92"/>
      <c r="I196" s="91"/>
      <c r="J196" s="91"/>
      <c r="K196" s="91"/>
      <c r="L196" s="91"/>
      <c r="M196" s="91"/>
      <c r="N196" s="91"/>
      <c r="O196" s="91"/>
      <c r="P196" s="91"/>
    </row>
    <row r="197" spans="1:16" x14ac:dyDescent="0.2">
      <c r="A197" s="92"/>
      <c r="I197" s="91"/>
      <c r="J197" s="91"/>
      <c r="K197" s="91"/>
      <c r="L197" s="91"/>
      <c r="M197" s="91"/>
      <c r="N197" s="91"/>
      <c r="O197" s="91"/>
      <c r="P197" s="91"/>
    </row>
    <row r="198" spans="1:16" x14ac:dyDescent="0.2">
      <c r="A198" s="92"/>
      <c r="I198" s="91"/>
      <c r="J198" s="91"/>
      <c r="K198" s="91"/>
      <c r="L198" s="91"/>
      <c r="M198" s="91"/>
      <c r="N198" s="91"/>
      <c r="O198" s="91"/>
      <c r="P198" s="91"/>
    </row>
    <row r="199" spans="1:16" x14ac:dyDescent="0.2">
      <c r="A199" s="92"/>
      <c r="I199" s="91"/>
      <c r="J199" s="91"/>
      <c r="K199" s="91"/>
      <c r="L199" s="91"/>
      <c r="M199" s="91"/>
      <c r="N199" s="91"/>
      <c r="O199" s="91"/>
      <c r="P199" s="91"/>
    </row>
    <row r="200" spans="1:16" x14ac:dyDescent="0.2">
      <c r="A200" s="92"/>
      <c r="I200" s="91"/>
      <c r="J200" s="91"/>
      <c r="K200" s="91"/>
      <c r="L200" s="91"/>
      <c r="M200" s="91"/>
      <c r="N200" s="91"/>
      <c r="O200" s="91"/>
      <c r="P200" s="91"/>
    </row>
  </sheetData>
  <phoneticPr fontId="11" type="noConversion"/>
  <conditionalFormatting sqref="R5:S200 R2:R4">
    <cfRule type="cellIs" dxfId="11" priority="1" operator="lessThan">
      <formula>0</formula>
    </cfRule>
    <cfRule type="cellIs" dxfId="10" priority="2" operator="greaterThan">
      <formula>0</formula>
    </cfRule>
  </conditionalFormatting>
  <dataValidations count="1">
    <dataValidation type="list" allowBlank="1" showInputMessage="1" showErrorMessage="1" sqref="H2:H1048576" xr:uid="{A506BAF1-BF0E-4701-8887-57EE727A0690}">
      <formula1>"多,空"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0915085-C4BA-4887-91B8-E7A2A8DD626B}">
          <x14:formula1>
            <xm:f>入场类型!$A$2:$A$1048576</xm:f>
          </x14:formula1>
          <xm:sqref>D2:D1048576</xm:sqref>
        </x14:dataValidation>
        <x14:dataValidation type="list" allowBlank="1" showInputMessage="1" showErrorMessage="1" xr:uid="{82A20FA4-F806-4113-9D6C-D755A2CFE1BC}">
          <x14:formula1>
            <xm:f>错误原因!$A$2:$A$1048576</xm:f>
          </x14:formula1>
          <xm:sqref>T2:T1048576</xm:sqref>
        </x14:dataValidation>
        <x14:dataValidation type="list" allowBlank="1" showInputMessage="1" showErrorMessage="1" xr:uid="{FEF2263E-02F0-4283-BCB0-B05BC9B4E08F}">
          <x14:formula1>
            <xm:f>离场理由!$A$2:$A$1048576</xm:f>
          </x14:formula1>
          <xm:sqref>E2:E1048576</xm:sqref>
        </x14:dataValidation>
        <x14:dataValidation type="list" allowBlank="1" showInputMessage="1" showErrorMessage="1" xr:uid="{B319DCEF-F952-423C-AEF6-B469705B1B62}">
          <x14:formula1>
            <xm:f>入场理由!$A$2:$A$1048576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57E6-EDA7-48C4-BDD9-F0E196AAEF61}">
  <dimension ref="A1:D25"/>
  <sheetViews>
    <sheetView workbookViewId="0"/>
  </sheetViews>
  <sheetFormatPr defaultRowHeight="20.25" x14ac:dyDescent="0.2"/>
  <cols>
    <col min="1" max="1" width="40.625" style="88" bestFit="1" customWidth="1"/>
    <col min="2" max="2" width="12.625" style="88" bestFit="1" customWidth="1"/>
    <col min="3" max="3" width="8.625" style="88" bestFit="1" customWidth="1"/>
    <col min="4" max="4" width="12.5" style="88" bestFit="1" customWidth="1"/>
    <col min="5" max="16384" width="9" style="88"/>
  </cols>
  <sheetData>
    <row r="1" spans="1:4" x14ac:dyDescent="0.2">
      <c r="A1" s="88" t="s">
        <v>152</v>
      </c>
      <c r="B1" s="88" t="s">
        <v>18</v>
      </c>
      <c r="C1" s="88" t="s">
        <v>19</v>
      </c>
      <c r="D1" s="88" t="s">
        <v>20</v>
      </c>
    </row>
    <row r="2" spans="1:4" x14ac:dyDescent="0.2">
      <c r="A2" s="88" t="s">
        <v>111</v>
      </c>
      <c r="B2" s="93">
        <f>SUMIF(日志重制!C:C,A2,日志重制!R:R)</f>
        <v>0</v>
      </c>
      <c r="C2" s="94">
        <f>IFERROR(COUNTIFS(日志重制!C:C,入场理由!A2,日志重制!Q:Q,"盈利")/COUNTIF(日志重制!C:C,入场理由!A2),0)</f>
        <v>0</v>
      </c>
      <c r="D2" s="88">
        <f>COUNTIF(日志重制!C:C,A2)</f>
        <v>0</v>
      </c>
    </row>
    <row r="3" spans="1:4" x14ac:dyDescent="0.2">
      <c r="A3" s="88" t="s">
        <v>116</v>
      </c>
      <c r="B3" s="93">
        <f>SUMIF(日志重制!C:C,A3,日志重制!R:R)</f>
        <v>0</v>
      </c>
      <c r="C3" s="94">
        <f>IFERROR(COUNTIFS(日志重制!C:C,入场理由!A3,日志重制!Q:Q,"盈利")/COUNTIF(日志重制!C:C,入场理由!A3),0)</f>
        <v>0</v>
      </c>
      <c r="D3" s="88">
        <f>COUNTIF(日志重制!C:C,A3)</f>
        <v>0</v>
      </c>
    </row>
    <row r="4" spans="1:4" x14ac:dyDescent="0.2">
      <c r="A4" s="88" t="s">
        <v>117</v>
      </c>
      <c r="B4" s="93">
        <f>SUMIF(日志重制!C:C,A4,日志重制!R:R)</f>
        <v>0</v>
      </c>
      <c r="C4" s="94">
        <f>IFERROR(COUNTIFS(日志重制!C:C,入场理由!A4,日志重制!Q:Q,"盈利")/COUNTIF(日志重制!C:C,入场理由!A4),0)</f>
        <v>0</v>
      </c>
      <c r="D4" s="88">
        <f>COUNTIF(日志重制!C:C,A4)</f>
        <v>0</v>
      </c>
    </row>
    <row r="5" spans="1:4" x14ac:dyDescent="0.2">
      <c r="A5" s="88" t="s">
        <v>118</v>
      </c>
      <c r="B5" s="93">
        <f>SUMIF(日志重制!C:C,A5,日志重制!R:R)</f>
        <v>0</v>
      </c>
      <c r="C5" s="94">
        <f>IFERROR(COUNTIFS(日志重制!C:C,入场理由!A5,日志重制!Q:Q,"盈利")/COUNTIF(日志重制!C:C,入场理由!A5),0)</f>
        <v>0</v>
      </c>
      <c r="D5" s="88">
        <f>COUNTIF(日志重制!C:C,A5)</f>
        <v>0</v>
      </c>
    </row>
    <row r="6" spans="1:4" x14ac:dyDescent="0.2">
      <c r="A6" s="88" t="s">
        <v>119</v>
      </c>
      <c r="B6" s="93">
        <f>SUMIF(日志重制!C:C,A6,日志重制!R:R)</f>
        <v>0</v>
      </c>
      <c r="C6" s="94">
        <f>IFERROR(COUNTIFS(日志重制!C:C,入场理由!A6,日志重制!Q:Q,"盈利")/COUNTIF(日志重制!C:C,入场理由!A6),0)</f>
        <v>0</v>
      </c>
      <c r="D6" s="88">
        <f>COUNTIF(日志重制!C:C,A6)</f>
        <v>0</v>
      </c>
    </row>
    <row r="7" spans="1:4" x14ac:dyDescent="0.2">
      <c r="A7" s="88" t="s">
        <v>120</v>
      </c>
      <c r="B7" s="93">
        <f>SUMIF(日志重制!C:C,A7,日志重制!R:R)</f>
        <v>0</v>
      </c>
      <c r="C7" s="94">
        <f>IFERROR(COUNTIFS(日志重制!C:C,入场理由!A7,日志重制!Q:Q,"盈利")/COUNTIF(日志重制!C:C,入场理由!A7),0)</f>
        <v>0</v>
      </c>
      <c r="D7" s="88">
        <f>COUNTIF(日志重制!C:C,A7)</f>
        <v>0</v>
      </c>
    </row>
    <row r="8" spans="1:4" x14ac:dyDescent="0.2">
      <c r="A8" s="88" t="s">
        <v>121</v>
      </c>
      <c r="B8" s="93">
        <f>SUMIF(日志重制!C:C,A8,日志重制!R:R)</f>
        <v>0</v>
      </c>
      <c r="C8" s="94">
        <f>IFERROR(COUNTIFS(日志重制!C:C,入场理由!A8,日志重制!Q:Q,"盈利")/COUNTIF(日志重制!C:C,入场理由!A8),0)</f>
        <v>0</v>
      </c>
      <c r="D8" s="88">
        <f>COUNTIF(日志重制!C:C,A8)</f>
        <v>0</v>
      </c>
    </row>
    <row r="9" spans="1:4" x14ac:dyDescent="0.2">
      <c r="A9" s="88" t="s">
        <v>122</v>
      </c>
      <c r="B9" s="93">
        <f>SUMIF(日志重制!C:C,A9,日志重制!R:R)</f>
        <v>0.12999999999999545</v>
      </c>
      <c r="C9" s="94">
        <f>IFERROR(COUNTIFS(日志重制!C:C,入场理由!A9,日志重制!Q:Q,"盈利")/COUNTIF(日志重制!C:C,入场理由!A9),0)</f>
        <v>1</v>
      </c>
      <c r="D9" s="88">
        <f>COUNTIF(日志重制!C:C,A9)</f>
        <v>1</v>
      </c>
    </row>
    <row r="10" spans="1:4" x14ac:dyDescent="0.2">
      <c r="A10" s="88" t="s">
        <v>123</v>
      </c>
      <c r="B10" s="93">
        <f>SUMIF(日志重制!C:C,A10,日志重制!R:R)</f>
        <v>0</v>
      </c>
      <c r="C10" s="94">
        <f>IFERROR(COUNTIFS(日志重制!C:C,入场理由!A10,日志重制!Q:Q,"盈利")/COUNTIF(日志重制!C:C,入场理由!A10),0)</f>
        <v>0</v>
      </c>
      <c r="D10" s="88">
        <f>COUNTIF(日志重制!C:C,A10)</f>
        <v>0</v>
      </c>
    </row>
    <row r="11" spans="1:4" x14ac:dyDescent="0.2">
      <c r="A11" s="88" t="s">
        <v>124</v>
      </c>
      <c r="B11" s="93">
        <f>SUMIF(日志重制!C:C,A11,日志重制!R:R)</f>
        <v>0</v>
      </c>
      <c r="C11" s="94">
        <f>IFERROR(COUNTIFS(日志重制!C:C,入场理由!A11,日志重制!Q:Q,"盈利")/COUNTIF(日志重制!C:C,入场理由!A11),0)</f>
        <v>0</v>
      </c>
      <c r="D11" s="88">
        <f>COUNTIF(日志重制!C:C,A11)</f>
        <v>0</v>
      </c>
    </row>
    <row r="12" spans="1:4" x14ac:dyDescent="0.2">
      <c r="A12" s="88" t="s">
        <v>125</v>
      </c>
      <c r="B12" s="93">
        <f>SUMIF(日志重制!C:C,A12,日志重制!R:R)</f>
        <v>0</v>
      </c>
      <c r="C12" s="94">
        <f>IFERROR(COUNTIFS(日志重制!C:C,入场理由!A12,日志重制!Q:Q,"盈利")/COUNTIF(日志重制!C:C,入场理由!A12),0)</f>
        <v>0</v>
      </c>
      <c r="D12" s="88">
        <f>COUNTIF(日志重制!C:C,A12)</f>
        <v>0</v>
      </c>
    </row>
    <row r="13" spans="1:4" x14ac:dyDescent="0.2">
      <c r="A13" s="88" t="s">
        <v>126</v>
      </c>
      <c r="B13" s="93">
        <f>SUMIF(日志重制!C:C,A13,日志重制!R:R)</f>
        <v>0</v>
      </c>
      <c r="C13" s="94">
        <f>IFERROR(COUNTIFS(日志重制!C:C,入场理由!A13,日志重制!Q:Q,"盈利")/COUNTIF(日志重制!C:C,入场理由!A13),0)</f>
        <v>0</v>
      </c>
      <c r="D13" s="88">
        <f>COUNTIF(日志重制!C:C,A13)</f>
        <v>0</v>
      </c>
    </row>
    <row r="14" spans="1:4" x14ac:dyDescent="0.2">
      <c r="A14" s="88" t="s">
        <v>127</v>
      </c>
      <c r="B14" s="93">
        <f>SUMIF(日志重制!C:C,A14,日志重制!R:R)</f>
        <v>0</v>
      </c>
      <c r="C14" s="94">
        <f>IFERROR(COUNTIFS(日志重制!C:C,入场理由!A14,日志重制!Q:Q,"盈利")/COUNTIF(日志重制!C:C,入场理由!A14),0)</f>
        <v>0</v>
      </c>
      <c r="D14" s="88">
        <f>COUNTIF(日志重制!C:C,A14)</f>
        <v>0</v>
      </c>
    </row>
    <row r="15" spans="1:4" x14ac:dyDescent="0.2">
      <c r="A15" s="88" t="s">
        <v>128</v>
      </c>
      <c r="B15" s="93">
        <f>SUMIF(日志重制!C:C,A15,日志重制!R:R)</f>
        <v>0</v>
      </c>
      <c r="C15" s="94">
        <f>IFERROR(COUNTIFS(日志重制!C:C,入场理由!A15,日志重制!Q:Q,"盈利")/COUNTIF(日志重制!C:C,入场理由!A15),0)</f>
        <v>0</v>
      </c>
      <c r="D15" s="88">
        <f>COUNTIF(日志重制!C:C,A15)</f>
        <v>0</v>
      </c>
    </row>
    <row r="16" spans="1:4" x14ac:dyDescent="0.2">
      <c r="A16" s="88" t="s">
        <v>129</v>
      </c>
      <c r="B16" s="93">
        <f>SUMIF(日志重制!C:C,A16,日志重制!R:R)</f>
        <v>0</v>
      </c>
      <c r="C16" s="94">
        <f>IFERROR(COUNTIFS(日志重制!C:C,入场理由!A16,日志重制!Q:Q,"盈利")/COUNTIF(日志重制!C:C,入场理由!A16),0)</f>
        <v>0</v>
      </c>
      <c r="D16" s="88">
        <f>COUNTIF(日志重制!C:C,A16)</f>
        <v>0</v>
      </c>
    </row>
    <row r="17" spans="1:4" x14ac:dyDescent="0.2">
      <c r="A17" s="88" t="s">
        <v>130</v>
      </c>
      <c r="B17" s="93">
        <f>SUMIF(日志重制!C:C,A17,日志重制!R:R)</f>
        <v>0</v>
      </c>
      <c r="C17" s="94">
        <f>IFERROR(COUNTIFS(日志重制!C:C,入场理由!A17,日志重制!Q:Q,"盈利")/COUNTIF(日志重制!C:C,入场理由!A17),0)</f>
        <v>0</v>
      </c>
      <c r="D17" s="88">
        <f>COUNTIF(日志重制!C:C,A17)</f>
        <v>0</v>
      </c>
    </row>
    <row r="18" spans="1:4" x14ac:dyDescent="0.2">
      <c r="A18" s="88" t="s">
        <v>131</v>
      </c>
      <c r="B18" s="93">
        <f>SUMIF(日志重制!C:C,A18,日志重制!R:R)</f>
        <v>0</v>
      </c>
      <c r="C18" s="94">
        <f>IFERROR(COUNTIFS(日志重制!C:C,入场理由!A18,日志重制!Q:Q,"盈利")/COUNTIF(日志重制!C:C,入场理由!A18),0)</f>
        <v>0</v>
      </c>
      <c r="D18" s="88">
        <f>COUNTIF(日志重制!C:C,A18)</f>
        <v>0</v>
      </c>
    </row>
    <row r="19" spans="1:4" x14ac:dyDescent="0.2">
      <c r="A19" s="88" t="s">
        <v>132</v>
      </c>
      <c r="B19" s="93">
        <f>SUMIF(日志重制!C:C,A19,日志重制!R:R)</f>
        <v>0.41000000000002501</v>
      </c>
      <c r="C19" s="94">
        <f>IFERROR(COUNTIFS(日志重制!C:C,入场理由!A19,日志重制!Q:Q,"盈利")/COUNTIF(日志重制!C:C,入场理由!A19),0)</f>
        <v>1</v>
      </c>
      <c r="D19" s="88">
        <f>COUNTIF(日志重制!C:C,A19)</f>
        <v>1</v>
      </c>
    </row>
    <row r="20" spans="1:4" x14ac:dyDescent="0.2">
      <c r="A20" s="88" t="s">
        <v>133</v>
      </c>
      <c r="B20" s="93">
        <f>SUMIF(日志重制!C:C,A20,日志重制!R:R)</f>
        <v>0</v>
      </c>
      <c r="C20" s="94">
        <f>IFERROR(COUNTIFS(日志重制!C:C,入场理由!A20,日志重制!Q:Q,"盈利")/COUNTIF(日志重制!C:C,入场理由!A20),0)</f>
        <v>0</v>
      </c>
      <c r="D20" s="88">
        <f>COUNTIF(日志重制!C:C,A20)</f>
        <v>0</v>
      </c>
    </row>
    <row r="21" spans="1:4" x14ac:dyDescent="0.2">
      <c r="A21" s="88" t="s">
        <v>134</v>
      </c>
      <c r="B21" s="93">
        <f>SUMIF(日志重制!C:C,A21,日志重制!R:R)</f>
        <v>0</v>
      </c>
      <c r="C21" s="94">
        <f>IFERROR(COUNTIFS(日志重制!C:C,入场理由!A21,日志重制!Q:Q,"盈利")/COUNTIF(日志重制!C:C,入场理由!A21),0)</f>
        <v>0</v>
      </c>
      <c r="D21" s="88">
        <f>COUNTIF(日志重制!C:C,A21)</f>
        <v>0</v>
      </c>
    </row>
    <row r="22" spans="1:4" x14ac:dyDescent="0.2">
      <c r="A22" s="88" t="s">
        <v>135</v>
      </c>
      <c r="B22" s="93">
        <f>SUMIF(日志重制!C:C,A22,日志重制!R:R)</f>
        <v>0</v>
      </c>
      <c r="C22" s="94">
        <f>IFERROR(COUNTIFS(日志重制!C:C,入场理由!A22,日志重制!Q:Q,"盈利")/COUNTIF(日志重制!C:C,入场理由!A22),0)</f>
        <v>0</v>
      </c>
      <c r="D22" s="88">
        <f>COUNTIF(日志重制!C:C,A22)</f>
        <v>0</v>
      </c>
    </row>
    <row r="23" spans="1:4" x14ac:dyDescent="0.2">
      <c r="A23" s="88" t="s">
        <v>136</v>
      </c>
      <c r="B23" s="93">
        <f>SUMIF(日志重制!C:C,A23,日志重制!R:R)</f>
        <v>0</v>
      </c>
      <c r="C23" s="94">
        <f>IFERROR(COUNTIFS(日志重制!C:C,入场理由!A23,日志重制!Q:Q,"盈利")/COUNTIF(日志重制!C:C,入场理由!A23),0)</f>
        <v>0</v>
      </c>
      <c r="D23" s="88">
        <f>COUNTIF(日志重制!C:C,A23)</f>
        <v>0</v>
      </c>
    </row>
    <row r="24" spans="1:4" x14ac:dyDescent="0.2">
      <c r="A24" s="88" t="s">
        <v>137</v>
      </c>
      <c r="B24" s="93">
        <f>SUMIF(日志重制!C:C,A24,日志重制!R:R)</f>
        <v>0</v>
      </c>
      <c r="C24" s="94">
        <f>IFERROR(COUNTIFS(日志重制!C:C,入场理由!A24,日志重制!Q:Q,"盈利")/COUNTIF(日志重制!C:C,入场理由!A24),0)</f>
        <v>0</v>
      </c>
      <c r="D24" s="88">
        <f>COUNTIF(日志重制!C:C,A24)</f>
        <v>0</v>
      </c>
    </row>
    <row r="25" spans="1:4" x14ac:dyDescent="0.2">
      <c r="A25" s="88" t="s">
        <v>115</v>
      </c>
      <c r="B25" s="93">
        <f>SUMIF(日志重制!C:C,A25,日志重制!R:R)</f>
        <v>10.01</v>
      </c>
      <c r="C25" s="94">
        <f>IFERROR(COUNTIFS(日志重制!C:C,入场理由!A25,日志重制!Q:Q,"盈利")/COUNTIF(日志重制!C:C,入场理由!A25),0)</f>
        <v>1</v>
      </c>
      <c r="D25" s="88">
        <f>COUNTIF(日志重制!C:C,A25)</f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7164-06FF-458D-B1FC-9F20D8E903BB}">
  <dimension ref="A1:D5"/>
  <sheetViews>
    <sheetView workbookViewId="0">
      <selection activeCell="A13" sqref="A13"/>
    </sheetView>
  </sheetViews>
  <sheetFormatPr defaultRowHeight="20.25" x14ac:dyDescent="0.2"/>
  <cols>
    <col min="1" max="2" width="12.5" style="88" bestFit="1" customWidth="1"/>
    <col min="3" max="3" width="7.25" style="88" bestFit="1" customWidth="1"/>
    <col min="4" max="4" width="12.5" style="88" bestFit="1" customWidth="1"/>
    <col min="5" max="16384" width="9" style="88"/>
  </cols>
  <sheetData>
    <row r="1" spans="1:4" x14ac:dyDescent="0.2">
      <c r="A1" s="88" t="s">
        <v>150</v>
      </c>
      <c r="B1" s="88" t="s">
        <v>162</v>
      </c>
      <c r="C1" s="88" t="s">
        <v>19</v>
      </c>
      <c r="D1" s="88" t="s">
        <v>20</v>
      </c>
    </row>
    <row r="2" spans="1:4" x14ac:dyDescent="0.2">
      <c r="A2" s="88" t="s">
        <v>180</v>
      </c>
      <c r="B2" s="88">
        <f>SUMIF(日志重制!D:D,入场类型!A2,日志重制!R:R)</f>
        <v>10.420000000000025</v>
      </c>
      <c r="C2" s="94">
        <f>IFERROR(COUNTIFS(日志重制!D:D,A2,日志重制!Q:Q,"盈利")/COUNTIF(日志重制!D:D,A2),0)</f>
        <v>1</v>
      </c>
      <c r="D2" s="88">
        <f>COUNTIF(日志重制!D:D,A2)</f>
        <v>2</v>
      </c>
    </row>
    <row r="3" spans="1:4" x14ac:dyDescent="0.2">
      <c r="A3" s="88" t="s">
        <v>181</v>
      </c>
      <c r="B3" s="88">
        <f>SUMIF(日志重制!D:D,入场类型!A3,日志重制!R:R)</f>
        <v>0.12999999999999545</v>
      </c>
      <c r="C3" s="94">
        <f>IFERROR(COUNTIFS(日志重制!D:D,A3,日志重制!Q:Q,"盈利")/COUNTIF(日志重制!D:D,A3),0)</f>
        <v>1</v>
      </c>
      <c r="D3" s="88">
        <f>COUNTIF(日志重制!D:D,A3)</f>
        <v>1</v>
      </c>
    </row>
    <row r="4" spans="1:4" x14ac:dyDescent="0.2">
      <c r="A4" s="88" t="s">
        <v>182</v>
      </c>
      <c r="B4" s="88">
        <f>SUMIF(日志重制!D:D,入场类型!A4,日志重制!R:R)</f>
        <v>0</v>
      </c>
      <c r="C4" s="94">
        <f>IFERROR(COUNTIFS(日志重制!D:D,A4,日志重制!Q:Q,"盈利")/COUNTIF(日志重制!D:D,A4),0)</f>
        <v>0</v>
      </c>
      <c r="D4" s="88">
        <f>COUNTIF(日志重制!D:D,A4)</f>
        <v>0</v>
      </c>
    </row>
    <row r="5" spans="1:4" x14ac:dyDescent="0.2">
      <c r="A5" s="88" t="s">
        <v>183</v>
      </c>
      <c r="B5" s="88">
        <f>SUMIF(日志重制!D:D,入场类型!A5,日志重制!R:R)</f>
        <v>0</v>
      </c>
      <c r="C5" s="94">
        <f>IFERROR(COUNTIFS(日志重制!D:D,A5,日志重制!Q:Q,"盈利")/COUNTIF(日志重制!D:D,A5),0)</f>
        <v>0</v>
      </c>
      <c r="D5" s="88">
        <f>COUNTIF(日志重制!D:D,A5)</f>
        <v>0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C64D-2B67-4D8B-80B2-27749E88726E}">
  <dimension ref="A1:B12"/>
  <sheetViews>
    <sheetView workbookViewId="0">
      <selection activeCell="E39" sqref="E39"/>
    </sheetView>
  </sheetViews>
  <sheetFormatPr defaultRowHeight="20.25" x14ac:dyDescent="0.2"/>
  <cols>
    <col min="1" max="1" width="40.625" style="88" bestFit="1" customWidth="1"/>
    <col min="2" max="2" width="12.5" style="88" bestFit="1" customWidth="1"/>
    <col min="3" max="16384" width="9" style="88"/>
  </cols>
  <sheetData>
    <row r="1" spans="1:2" x14ac:dyDescent="0.2">
      <c r="A1" s="88" t="s">
        <v>52</v>
      </c>
      <c r="B1" s="88" t="s">
        <v>20</v>
      </c>
    </row>
    <row r="2" spans="1:2" x14ac:dyDescent="0.2">
      <c r="A2" s="88" t="s">
        <v>166</v>
      </c>
    </row>
    <row r="3" spans="1:2" x14ac:dyDescent="0.2">
      <c r="A3" s="88" t="s">
        <v>167</v>
      </c>
    </row>
    <row r="4" spans="1:2" x14ac:dyDescent="0.2">
      <c r="A4" s="88" t="s">
        <v>112</v>
      </c>
    </row>
    <row r="5" spans="1:2" x14ac:dyDescent="0.2">
      <c r="A5" s="88" t="s">
        <v>168</v>
      </c>
    </row>
    <row r="6" spans="1:2" x14ac:dyDescent="0.2">
      <c r="A6" s="88" t="s">
        <v>169</v>
      </c>
    </row>
    <row r="7" spans="1:2" x14ac:dyDescent="0.2">
      <c r="A7" s="88" t="s">
        <v>170</v>
      </c>
    </row>
    <row r="8" spans="1:2" x14ac:dyDescent="0.2">
      <c r="A8" s="88" t="s">
        <v>145</v>
      </c>
    </row>
    <row r="9" spans="1:2" x14ac:dyDescent="0.2">
      <c r="A9" s="88" t="s">
        <v>171</v>
      </c>
    </row>
    <row r="10" spans="1:2" x14ac:dyDescent="0.2">
      <c r="A10" s="88" t="s">
        <v>172</v>
      </c>
    </row>
    <row r="11" spans="1:2" x14ac:dyDescent="0.2">
      <c r="A11" s="88" t="s">
        <v>173</v>
      </c>
    </row>
    <row r="12" spans="1:2" x14ac:dyDescent="0.2">
      <c r="A12" s="88" t="s">
        <v>146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8526-BDB2-4C56-A8F3-62EC1CF06E73}">
  <dimension ref="A1:B10"/>
  <sheetViews>
    <sheetView workbookViewId="0">
      <selection activeCell="B3" sqref="B3"/>
    </sheetView>
  </sheetViews>
  <sheetFormatPr defaultRowHeight="20.25" x14ac:dyDescent="0.2"/>
  <cols>
    <col min="1" max="1" width="96.375" style="88" bestFit="1" customWidth="1"/>
    <col min="2" max="2" width="12.5" style="88" bestFit="1" customWidth="1"/>
    <col min="3" max="16384" width="9" style="88"/>
  </cols>
  <sheetData>
    <row r="1" spans="1:2" x14ac:dyDescent="0.2">
      <c r="A1" s="88" t="s">
        <v>12</v>
      </c>
      <c r="B1" s="88" t="s">
        <v>51</v>
      </c>
    </row>
    <row r="2" spans="1:2" x14ac:dyDescent="0.2">
      <c r="A2" s="88" t="s">
        <v>184</v>
      </c>
      <c r="B2" s="88">
        <f>COUNTIF(日志重制!T2:T1048576,错误类型1!A2)</f>
        <v>0</v>
      </c>
    </row>
    <row r="3" spans="1:2" x14ac:dyDescent="0.2">
      <c r="A3" s="88" t="s">
        <v>186</v>
      </c>
      <c r="B3" s="88">
        <f>COUNTIF(日志重制!T2:T1048576,错误类型1!A3)</f>
        <v>0</v>
      </c>
    </row>
    <row r="4" spans="1:2" x14ac:dyDescent="0.2">
      <c r="A4" s="88" t="s">
        <v>187</v>
      </c>
      <c r="B4" s="88">
        <f>COUNTIF(日志重制!T2:T1048576,错误类型1!A4)</f>
        <v>0</v>
      </c>
    </row>
    <row r="5" spans="1:2" x14ac:dyDescent="0.2">
      <c r="A5" s="88" t="s">
        <v>188</v>
      </c>
      <c r="B5" s="88">
        <f>COUNTIF(日志重制!T2:T1048576,错误类型1!A5)</f>
        <v>0</v>
      </c>
    </row>
    <row r="6" spans="1:2" x14ac:dyDescent="0.2">
      <c r="A6" s="88" t="s">
        <v>189</v>
      </c>
      <c r="B6" s="88">
        <f>COUNTIF(日志重制!T2:T1048576,错误类型1!A6)</f>
        <v>0</v>
      </c>
    </row>
    <row r="7" spans="1:2" x14ac:dyDescent="0.2">
      <c r="A7" s="88" t="s">
        <v>190</v>
      </c>
      <c r="B7" s="88">
        <f>COUNTIF(日志重制!T2:T1048576,错误类型1!A7)</f>
        <v>0</v>
      </c>
    </row>
    <row r="8" spans="1:2" x14ac:dyDescent="0.2">
      <c r="A8" s="88" t="s">
        <v>191</v>
      </c>
      <c r="B8" s="88">
        <f>COUNTIF(日志重制!T2:T1048576,错误类型1!A8)</f>
        <v>0</v>
      </c>
    </row>
    <row r="9" spans="1:2" x14ac:dyDescent="0.2">
      <c r="A9" s="88" t="s">
        <v>192</v>
      </c>
      <c r="B9" s="88">
        <f>COUNTIF(日志重制!T2:T1048576,错误类型1!A9)</f>
        <v>0</v>
      </c>
    </row>
    <row r="10" spans="1:2" x14ac:dyDescent="0.2">
      <c r="A10" s="88" t="s">
        <v>193</v>
      </c>
      <c r="B10" s="88">
        <f>COUNTIF(日志重制!T2:T1048576,错误类型1!A10)</f>
        <v>0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487D-9708-4462-960D-458B17C78CDA}">
  <dimension ref="A1:D12"/>
  <sheetViews>
    <sheetView workbookViewId="0">
      <selection activeCell="L27" sqref="L27"/>
    </sheetView>
  </sheetViews>
  <sheetFormatPr defaultRowHeight="20.25" x14ac:dyDescent="0.2"/>
  <cols>
    <col min="1" max="1" width="12.5" style="89" bestFit="1" customWidth="1"/>
    <col min="2" max="2" width="53.625" style="89" customWidth="1"/>
    <col min="3" max="3" width="24.125" style="89" bestFit="1" customWidth="1"/>
    <col min="4" max="4" width="45.125" style="89" customWidth="1"/>
    <col min="5" max="16384" width="9" style="89"/>
  </cols>
  <sheetData>
    <row r="1" spans="1:4" x14ac:dyDescent="0.2">
      <c r="B1" s="89" t="s">
        <v>21</v>
      </c>
      <c r="C1" s="89" t="s">
        <v>22</v>
      </c>
      <c r="D1" s="89" t="s">
        <v>23</v>
      </c>
    </row>
    <row r="2" spans="1:4" ht="60.75" x14ac:dyDescent="0.2">
      <c r="A2" s="89" t="s">
        <v>24</v>
      </c>
      <c r="B2" s="89" t="s">
        <v>25</v>
      </c>
      <c r="C2" s="89" t="s">
        <v>26</v>
      </c>
      <c r="D2" s="89" t="s">
        <v>27</v>
      </c>
    </row>
    <row r="3" spans="1:4" x14ac:dyDescent="0.2">
      <c r="A3" s="89" t="s">
        <v>22</v>
      </c>
      <c r="B3" s="89" t="s">
        <v>28</v>
      </c>
      <c r="C3" s="89" t="s">
        <v>29</v>
      </c>
      <c r="D3" s="89" t="s">
        <v>28</v>
      </c>
    </row>
    <row r="4" spans="1:4" ht="81" x14ac:dyDescent="0.2">
      <c r="A4" s="89" t="s">
        <v>30</v>
      </c>
      <c r="B4" s="89" t="s">
        <v>27</v>
      </c>
      <c r="C4" s="89" t="s">
        <v>26</v>
      </c>
      <c r="D4" s="89" t="s">
        <v>25</v>
      </c>
    </row>
    <row r="6" spans="1:4" x14ac:dyDescent="0.2">
      <c r="A6" s="89" t="s">
        <v>28</v>
      </c>
      <c r="B6" s="89" t="s">
        <v>31</v>
      </c>
      <c r="C6" s="89" t="s">
        <v>32</v>
      </c>
      <c r="D6" s="89" t="s">
        <v>33</v>
      </c>
    </row>
    <row r="7" spans="1:4" x14ac:dyDescent="0.2">
      <c r="A7" s="89" t="s">
        <v>29</v>
      </c>
      <c r="B7" s="89" t="s">
        <v>34</v>
      </c>
      <c r="C7" s="89" t="s">
        <v>35</v>
      </c>
      <c r="D7" s="89" t="s">
        <v>36</v>
      </c>
    </row>
    <row r="8" spans="1:4" x14ac:dyDescent="0.2">
      <c r="A8" s="89" t="s">
        <v>37</v>
      </c>
      <c r="B8" s="89" t="s">
        <v>38</v>
      </c>
      <c r="C8" s="89" t="s">
        <v>39</v>
      </c>
      <c r="D8" s="89" t="s">
        <v>40</v>
      </c>
    </row>
    <row r="9" spans="1:4" x14ac:dyDescent="0.2">
      <c r="B9" s="89" t="s">
        <v>41</v>
      </c>
      <c r="D9" s="89" t="s">
        <v>42</v>
      </c>
    </row>
    <row r="10" spans="1:4" x14ac:dyDescent="0.2">
      <c r="D10" s="89" t="s">
        <v>29</v>
      </c>
    </row>
    <row r="11" spans="1:4" x14ac:dyDescent="0.2">
      <c r="B11" s="89" t="s">
        <v>44</v>
      </c>
      <c r="D11" s="89" t="s">
        <v>45</v>
      </c>
    </row>
    <row r="12" spans="1:4" x14ac:dyDescent="0.2">
      <c r="D12" s="89" t="s">
        <v>47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3"/>
  <sheetViews>
    <sheetView workbookViewId="0"/>
  </sheetViews>
  <sheetFormatPr defaultColWidth="8.875" defaultRowHeight="14.25" x14ac:dyDescent="0.2"/>
  <cols>
    <col min="1" max="1" width="9.625" bestFit="1" customWidth="1"/>
    <col min="2" max="2" width="13.5" customWidth="1"/>
    <col min="3" max="3" width="14.5" customWidth="1"/>
    <col min="4" max="4" width="12.625" customWidth="1"/>
    <col min="5" max="5" width="13.5" customWidth="1"/>
    <col min="6" max="6" width="18" customWidth="1"/>
    <col min="8" max="8" width="27.5" customWidth="1"/>
  </cols>
  <sheetData>
    <row r="1" spans="1:16" ht="28.5" x14ac:dyDescent="0.2">
      <c r="A1" s="7" t="s">
        <v>7</v>
      </c>
      <c r="B1" s="7" t="s">
        <v>62</v>
      </c>
      <c r="C1" s="7" t="s">
        <v>63</v>
      </c>
      <c r="D1" s="7" t="s">
        <v>64</v>
      </c>
      <c r="E1" s="7" t="s">
        <v>65</v>
      </c>
      <c r="F1" s="7" t="s">
        <v>66</v>
      </c>
      <c r="G1" s="7" t="s">
        <v>3</v>
      </c>
      <c r="H1" s="7" t="s">
        <v>67</v>
      </c>
      <c r="L1" s="8"/>
      <c r="P1" s="8"/>
    </row>
    <row r="2" spans="1:16" ht="16.5" x14ac:dyDescent="0.2">
      <c r="A2" s="9">
        <v>45762</v>
      </c>
      <c r="B2" s="10" t="s">
        <v>68</v>
      </c>
      <c r="C2" s="11" t="s">
        <v>68</v>
      </c>
      <c r="D2" s="12" t="s">
        <v>68</v>
      </c>
      <c r="E2" s="2" t="s">
        <v>68</v>
      </c>
      <c r="F2" s="2" t="s">
        <v>68</v>
      </c>
      <c r="G2" s="2">
        <v>-14</v>
      </c>
      <c r="L2" s="11"/>
      <c r="P2" s="11"/>
    </row>
    <row r="3" spans="1:16" x14ac:dyDescent="0.2">
      <c r="A3" s="9">
        <v>45763</v>
      </c>
      <c r="B3" s="2" t="s">
        <v>69</v>
      </c>
      <c r="C3" s="2" t="s">
        <v>69</v>
      </c>
      <c r="D3" s="2" t="s">
        <v>69</v>
      </c>
      <c r="E3" s="2" t="s">
        <v>68</v>
      </c>
      <c r="F3" s="2" t="s">
        <v>69</v>
      </c>
      <c r="G3" s="2">
        <v>-60</v>
      </c>
    </row>
  </sheetData>
  <phoneticPr fontId="11" type="noConversion"/>
  <conditionalFormatting sqref="B2:F200">
    <cfRule type="expression" dxfId="9" priority="1">
      <formula>B2="❌"</formula>
    </cfRule>
    <cfRule type="expression" dxfId="8" priority="2">
      <formula>B2="✅"</formula>
    </cfRule>
  </conditionalFormatting>
  <dataValidations count="1">
    <dataValidation type="list" allowBlank="1" showInputMessage="1" showErrorMessage="1" sqref="B2:F200" xr:uid="{00000000-0002-0000-0200-000000000000}">
      <formula1>"✅,❌"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504"/>
  <sheetViews>
    <sheetView topLeftCell="J1" zoomScale="85" zoomScaleNormal="85" workbookViewId="0">
      <pane ySplit="2" topLeftCell="A3" activePane="bottomLeft" state="frozen"/>
      <selection pane="bottomLeft" activeCell="P3" sqref="P3"/>
    </sheetView>
  </sheetViews>
  <sheetFormatPr defaultColWidth="8.875" defaultRowHeight="13.5" x14ac:dyDescent="0.2"/>
  <cols>
    <col min="1" max="1" width="18.625" style="49" customWidth="1"/>
    <col min="2" max="2" width="12" style="48" customWidth="1"/>
    <col min="3" max="3" width="23.875" style="48" customWidth="1"/>
    <col min="4" max="4" width="26.375" style="46" bestFit="1" customWidth="1"/>
    <col min="5" max="5" width="19.5" style="46" customWidth="1"/>
    <col min="6" max="6" width="31.875" style="47" customWidth="1"/>
    <col min="7" max="7" width="14.625" style="48" customWidth="1"/>
    <col min="8" max="8" width="9.125" style="48" bestFit="1" customWidth="1"/>
    <col min="9" max="9" width="9.125" style="48" customWidth="1"/>
    <col min="10" max="10" width="10.5" style="48" bestFit="1" customWidth="1"/>
    <col min="11" max="12" width="10.875" style="48" bestFit="1" customWidth="1"/>
    <col min="13" max="13" width="11.25" style="48" bestFit="1" customWidth="1"/>
    <col min="14" max="14" width="13" style="48" bestFit="1" customWidth="1"/>
    <col min="15" max="15" width="19.125" style="48" customWidth="1"/>
    <col min="16" max="16" width="57" style="47" customWidth="1"/>
    <col min="17" max="17" width="35.5" style="49" customWidth="1"/>
    <col min="18" max="18" width="20.875" style="35" customWidth="1"/>
    <col min="19" max="19" width="27.125" style="35" customWidth="1"/>
    <col min="20" max="20" width="9.125" style="35" customWidth="1"/>
    <col min="21" max="21" width="8.625" style="35" bestFit="1" customWidth="1"/>
    <col min="22" max="22" width="12.75" style="35" bestFit="1" customWidth="1"/>
    <col min="23" max="23" width="10.5" style="35" customWidth="1"/>
    <col min="24" max="24" width="10.375" style="35" customWidth="1"/>
    <col min="25" max="25" width="23" style="35" bestFit="1" customWidth="1"/>
    <col min="26" max="26" width="16.875" style="35" customWidth="1"/>
    <col min="27" max="27" width="29.625" style="35" bestFit="1" customWidth="1"/>
    <col min="28" max="16384" width="8.875" style="35"/>
  </cols>
  <sheetData>
    <row r="1" spans="1:29" ht="25.5" x14ac:dyDescent="0.2">
      <c r="A1" s="20"/>
      <c r="B1" s="21" t="s">
        <v>0</v>
      </c>
      <c r="C1" s="22"/>
      <c r="D1" s="23"/>
      <c r="E1" s="23"/>
      <c r="F1" s="24" t="str">
        <f>IFERROR(LOOKUP(2,1/(#REF!&lt;&gt;""),#REF!),"")</f>
        <v/>
      </c>
      <c r="G1" s="22"/>
      <c r="H1" s="25"/>
      <c r="I1" s="25"/>
      <c r="J1" s="26">
        <f>COUNTIFS(B:B,P1,N:N,"Lose")</f>
        <v>0</v>
      </c>
      <c r="K1" s="27" t="str">
        <f>J1&amp;"/3"</f>
        <v>0/3</v>
      </c>
      <c r="L1" s="28">
        <f>COUNTIF(B:B,P1)</f>
        <v>0</v>
      </c>
      <c r="M1" s="29" t="str">
        <f>L1&amp;"/5"</f>
        <v>0/5</v>
      </c>
      <c r="N1" s="28"/>
      <c r="O1" s="28"/>
      <c r="P1" s="24"/>
      <c r="Q1" s="28"/>
      <c r="R1" s="30" t="s">
        <v>1</v>
      </c>
      <c r="S1" s="30"/>
      <c r="T1" s="30"/>
      <c r="U1" s="30"/>
      <c r="V1" s="30"/>
      <c r="W1" s="31" t="s">
        <v>2</v>
      </c>
      <c r="X1" s="32" t="s">
        <v>3</v>
      </c>
      <c r="Y1" s="33" t="s">
        <v>4</v>
      </c>
      <c r="Z1" s="34" t="s">
        <v>5</v>
      </c>
      <c r="AA1" s="33" t="s">
        <v>6</v>
      </c>
      <c r="AC1" s="35" t="s">
        <v>116</v>
      </c>
    </row>
    <row r="2" spans="1:29" ht="35.25" x14ac:dyDescent="0.2">
      <c r="A2" s="18" t="s">
        <v>7</v>
      </c>
      <c r="B2" s="18" t="s">
        <v>81</v>
      </c>
      <c r="C2" s="18" t="s">
        <v>8</v>
      </c>
      <c r="D2" s="19" t="s">
        <v>70</v>
      </c>
      <c r="E2" s="19" t="s">
        <v>9</v>
      </c>
      <c r="F2" s="36" t="s">
        <v>11</v>
      </c>
      <c r="G2" s="37" t="s">
        <v>106</v>
      </c>
      <c r="H2" s="18" t="s">
        <v>10</v>
      </c>
      <c r="I2" s="18" t="s">
        <v>140</v>
      </c>
      <c r="J2" s="18" t="s">
        <v>141</v>
      </c>
      <c r="K2" s="18" t="s">
        <v>142</v>
      </c>
      <c r="L2" s="18" t="s">
        <v>143</v>
      </c>
      <c r="M2" s="37" t="s">
        <v>107</v>
      </c>
      <c r="N2" s="37" t="s">
        <v>108</v>
      </c>
      <c r="O2" s="37" t="s">
        <v>109</v>
      </c>
      <c r="P2" s="36"/>
      <c r="Q2" s="38" t="s">
        <v>12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  <c r="W2" s="39">
        <f>COUNTIF($N$3:$N$404,"win")/(COUNTIF($N$3:$N$404,"win")+COUNTIF($N$3:$N$404,"lose"))</f>
        <v>1</v>
      </c>
      <c r="X2" s="40">
        <f>SUM($M$3:$M$404)</f>
        <v>40.04</v>
      </c>
      <c r="Y2" s="41">
        <f>AVERAGEIF(M:M,"&gt;0")</f>
        <v>10.01</v>
      </c>
      <c r="Z2" s="42" t="e">
        <f>AVERAGEIF(M:M,"&lt;0")</f>
        <v>#DIV/0!</v>
      </c>
      <c r="AA2" s="39" t="e">
        <f>Y2/-Z2</f>
        <v>#DIV/0!</v>
      </c>
      <c r="AC2" s="35" t="s">
        <v>117</v>
      </c>
    </row>
    <row r="3" spans="1:29" ht="165.75" customHeight="1" x14ac:dyDescent="0.2">
      <c r="A3" s="43">
        <v>46028.947916666664</v>
      </c>
      <c r="B3" s="44" t="s">
        <v>105</v>
      </c>
      <c r="C3" s="45" t="s">
        <v>114</v>
      </c>
      <c r="D3" s="46" t="s">
        <v>46</v>
      </c>
      <c r="E3" s="46" t="s">
        <v>145</v>
      </c>
      <c r="F3" s="47" t="s">
        <v>144</v>
      </c>
      <c r="G3" s="48">
        <v>1</v>
      </c>
      <c r="H3" s="48" t="s">
        <v>138</v>
      </c>
      <c r="I3" s="48">
        <f>0.62*2</f>
        <v>1.24</v>
      </c>
      <c r="J3" s="48">
        <v>34728.75</v>
      </c>
      <c r="K3" s="48">
        <v>34740</v>
      </c>
      <c r="M3" s="49">
        <f>IF(ISBLANK(L3),IF(H3="Long",(K3-J3)*G3,(J3-K3)*G3)-I3,IF(H3="Long",(K3-J3)*(G3/2)+(L3-J3)*(G3/2)-I3,(J3-K3)*(G3/2)+(J3-L3)*(G3/2))-I3)</f>
        <v>10.01</v>
      </c>
      <c r="N3" s="49" t="str">
        <f t="shared" ref="N3:N66" si="0">_xlfn.IFS(M3&gt;0,"win",M3&lt;0,"lose",M3=0,"BE")</f>
        <v>win</v>
      </c>
      <c r="O3" s="49">
        <f>$M$3</f>
        <v>10.01</v>
      </c>
      <c r="P3" s="47" t="e" vm="1">
        <v>#VALUE!</v>
      </c>
      <c r="Q3" s="50" t="s">
        <v>54</v>
      </c>
      <c r="R3" s="51" t="str">
        <f>IFERROR(LOOKUP(2,1/(B3:B1000&lt;&gt;""),B2:B1000),"")</f>
        <v>MES</v>
      </c>
      <c r="AC3" s="35" t="s">
        <v>118</v>
      </c>
    </row>
    <row r="4" spans="1:29" ht="24" x14ac:dyDescent="0.2">
      <c r="A4" s="43">
        <v>46029.947916666664</v>
      </c>
      <c r="B4" s="44" t="s">
        <v>113</v>
      </c>
      <c r="C4" s="45" t="s">
        <v>132</v>
      </c>
      <c r="D4" s="46" t="s">
        <v>46</v>
      </c>
      <c r="H4" s="49"/>
      <c r="I4" s="49"/>
      <c r="M4" s="52">
        <f t="shared" ref="M4:M66" si="1">IF(ISBLANK(L4),IF(H4="Long",(K4-J4)*G4,(J4-K4)*G4),IF(H4="Long",(K4-J4)*(G4/2)+(L4-J4)*(G4/2),(J4-K4)*(G4/2)+(J4-L4)*(G4/2)))</f>
        <v>0</v>
      </c>
      <c r="N4" s="49" t="str">
        <f t="shared" si="0"/>
        <v>BE</v>
      </c>
      <c r="O4" s="49">
        <f>M4+P7</f>
        <v>0</v>
      </c>
      <c r="S4" s="53" t="s">
        <v>110</v>
      </c>
      <c r="T4" s="54" t="s">
        <v>18</v>
      </c>
      <c r="U4" s="55" t="s">
        <v>19</v>
      </c>
      <c r="V4" s="54" t="s">
        <v>20</v>
      </c>
      <c r="AC4" s="35" t="s">
        <v>119</v>
      </c>
    </row>
    <row r="5" spans="1:29" ht="67.5" x14ac:dyDescent="0.2">
      <c r="A5" s="43">
        <v>46028.947916666664</v>
      </c>
      <c r="B5" s="44" t="s">
        <v>105</v>
      </c>
      <c r="C5" s="45" t="s">
        <v>114</v>
      </c>
      <c r="D5" s="46" t="s">
        <v>46</v>
      </c>
      <c r="E5" s="46" t="s">
        <v>145</v>
      </c>
      <c r="F5" s="47" t="s">
        <v>144</v>
      </c>
      <c r="G5" s="48">
        <v>1</v>
      </c>
      <c r="H5" s="48" t="s">
        <v>138</v>
      </c>
      <c r="I5" s="48">
        <f>0.62*2</f>
        <v>1.24</v>
      </c>
      <c r="J5" s="48">
        <v>34728.75</v>
      </c>
      <c r="K5" s="48">
        <v>34740</v>
      </c>
      <c r="M5" s="49">
        <f>IF(ISBLANK(L5),IF(H5="Long",(K5-J5)*G5,(J5-K5)*G5)-I5,IF(H5="Long",(K5-J5)*(G5/2)+(L5-J5)*(G5/2)-I5,(J5-K5)*(G5/2)+(J5-L5)*(G5/2))-I5)</f>
        <v>10.01</v>
      </c>
      <c r="N5" s="49" t="str">
        <f t="shared" si="0"/>
        <v>win</v>
      </c>
      <c r="O5" s="49">
        <f>$M$3</f>
        <v>10.01</v>
      </c>
      <c r="S5" s="56" t="s">
        <v>71</v>
      </c>
      <c r="T5" s="56">
        <f t="shared" ref="T5:T27" si="2">SUMIF(C:C,S5,M:M)</f>
        <v>0</v>
      </c>
      <c r="U5" s="57">
        <f t="shared" ref="U5:U27" si="3">IFERROR(COUNTIFS(C:C,S5,N:N,"win")/COUNTIF(C:C,S5),0)</f>
        <v>0</v>
      </c>
      <c r="V5" s="56">
        <f t="shared" ref="V5:V27" si="4">COUNTIF(C:C,S5)</f>
        <v>0</v>
      </c>
      <c r="AC5" s="35" t="s">
        <v>120</v>
      </c>
    </row>
    <row r="6" spans="1:29" ht="67.5" x14ac:dyDescent="0.2">
      <c r="A6" s="43">
        <v>46028.947916666664</v>
      </c>
      <c r="B6" s="44" t="s">
        <v>105</v>
      </c>
      <c r="C6" s="45" t="s">
        <v>114</v>
      </c>
      <c r="D6" s="46" t="s">
        <v>46</v>
      </c>
      <c r="E6" s="46" t="s">
        <v>145</v>
      </c>
      <c r="F6" s="47" t="s">
        <v>144</v>
      </c>
      <c r="G6" s="48">
        <v>1</v>
      </c>
      <c r="H6" s="48" t="s">
        <v>138</v>
      </c>
      <c r="I6" s="48">
        <f>0.62*2</f>
        <v>1.24</v>
      </c>
      <c r="J6" s="48">
        <v>34728.75</v>
      </c>
      <c r="K6" s="48">
        <v>34740</v>
      </c>
      <c r="M6" s="49">
        <f>IF(ISBLANK(L6),IF(H6="Long",(K6-J6)*G6,(J6-K6)*G6)-I6,IF(H6="Long",(K6-J6)*(G6/2)+(L6-J6)*(G6/2)-I6,(J6-K6)*(G6/2)+(J6-L6)*(G6/2))-I6)</f>
        <v>10.01</v>
      </c>
      <c r="N6" s="49" t="str">
        <f t="shared" si="0"/>
        <v>win</v>
      </c>
      <c r="O6" s="49">
        <f>$M$3</f>
        <v>10.01</v>
      </c>
      <c r="S6" s="59" t="s">
        <v>73</v>
      </c>
      <c r="T6" s="56">
        <f t="shared" si="2"/>
        <v>0</v>
      </c>
      <c r="U6" s="57">
        <f t="shared" si="3"/>
        <v>0</v>
      </c>
      <c r="V6" s="56">
        <f t="shared" si="4"/>
        <v>0</v>
      </c>
      <c r="AC6" s="35" t="s">
        <v>121</v>
      </c>
    </row>
    <row r="7" spans="1:29" ht="67.5" x14ac:dyDescent="0.2">
      <c r="A7" s="43">
        <v>46028.947916666664</v>
      </c>
      <c r="B7" s="44" t="s">
        <v>105</v>
      </c>
      <c r="C7" s="45" t="s">
        <v>114</v>
      </c>
      <c r="D7" s="46" t="s">
        <v>46</v>
      </c>
      <c r="E7" s="46" t="s">
        <v>145</v>
      </c>
      <c r="F7" s="47" t="s">
        <v>144</v>
      </c>
      <c r="G7" s="48">
        <v>1</v>
      </c>
      <c r="H7" s="48" t="s">
        <v>138</v>
      </c>
      <c r="I7" s="48">
        <f>0.62*2</f>
        <v>1.24</v>
      </c>
      <c r="J7" s="48">
        <v>34728.75</v>
      </c>
      <c r="K7" s="48">
        <v>34740</v>
      </c>
      <c r="M7" s="49">
        <f>IF(ISBLANK(L7),IF(H7="Long",(K7-J7)*G7,(J7-K7)*G7)-I7,IF(H7="Long",(K7-J7)*(G7/2)+(L7-J7)*(G7/2)-I7,(J7-K7)*(G7/2)+(J7-L7)*(G7/2))-I7)</f>
        <v>10.01</v>
      </c>
      <c r="N7" s="49" t="str">
        <f t="shared" si="0"/>
        <v>win</v>
      </c>
      <c r="O7" s="49">
        <f>$M$3</f>
        <v>10.01</v>
      </c>
      <c r="Q7" s="60"/>
      <c r="S7" s="61" t="s">
        <v>77</v>
      </c>
      <c r="T7" s="56">
        <f t="shared" si="2"/>
        <v>0</v>
      </c>
      <c r="U7" s="57">
        <f t="shared" si="3"/>
        <v>0</v>
      </c>
      <c r="V7" s="56">
        <f t="shared" si="4"/>
        <v>0</v>
      </c>
      <c r="AC7" s="35" t="s">
        <v>122</v>
      </c>
    </row>
    <row r="8" spans="1:29" x14ac:dyDescent="0.2">
      <c r="A8" s="43"/>
      <c r="B8" s="44"/>
      <c r="C8" s="45"/>
      <c r="E8" s="58"/>
      <c r="M8" s="49">
        <f t="shared" si="1"/>
        <v>0</v>
      </c>
      <c r="N8" s="49" t="str">
        <f t="shared" si="0"/>
        <v>BE</v>
      </c>
      <c r="O8" s="49">
        <f t="shared" ref="O8:O71" si="5">M8+O7</f>
        <v>10.01</v>
      </c>
      <c r="S8" s="62" t="s">
        <v>78</v>
      </c>
      <c r="T8" s="56">
        <f t="shared" si="2"/>
        <v>0</v>
      </c>
      <c r="U8" s="57">
        <f t="shared" si="3"/>
        <v>0</v>
      </c>
      <c r="V8" s="56">
        <f t="shared" si="4"/>
        <v>0</v>
      </c>
      <c r="AC8" s="35" t="s">
        <v>123</v>
      </c>
    </row>
    <row r="9" spans="1:29" x14ac:dyDescent="0.2">
      <c r="A9" s="43"/>
      <c r="B9" s="44"/>
      <c r="C9" s="45"/>
      <c r="E9" s="58"/>
      <c r="M9" s="49">
        <f t="shared" si="1"/>
        <v>0</v>
      </c>
      <c r="N9" s="49" t="str">
        <f t="shared" si="0"/>
        <v>BE</v>
      </c>
      <c r="O9" s="49">
        <f t="shared" si="5"/>
        <v>10.01</v>
      </c>
      <c r="S9" s="56" t="s">
        <v>79</v>
      </c>
      <c r="T9" s="56">
        <f t="shared" si="2"/>
        <v>0</v>
      </c>
      <c r="U9" s="57">
        <f t="shared" si="3"/>
        <v>0</v>
      </c>
      <c r="V9" s="56">
        <f t="shared" si="4"/>
        <v>0</v>
      </c>
      <c r="AC9" s="35" t="s">
        <v>124</v>
      </c>
    </row>
    <row r="10" spans="1:29" x14ac:dyDescent="0.2">
      <c r="A10" s="43"/>
      <c r="B10" s="44"/>
      <c r="C10" s="45"/>
      <c r="E10" s="58"/>
      <c r="K10" s="49"/>
      <c r="M10" s="49">
        <f t="shared" si="1"/>
        <v>0</v>
      </c>
      <c r="N10" s="49" t="str">
        <f t="shared" si="0"/>
        <v>BE</v>
      </c>
      <c r="O10" s="49">
        <f t="shared" si="5"/>
        <v>10.01</v>
      </c>
      <c r="S10" s="56" t="s">
        <v>85</v>
      </c>
      <c r="T10" s="56">
        <f t="shared" si="2"/>
        <v>0</v>
      </c>
      <c r="U10" s="57">
        <f t="shared" si="3"/>
        <v>0</v>
      </c>
      <c r="V10" s="56">
        <f t="shared" si="4"/>
        <v>0</v>
      </c>
      <c r="AC10" s="35" t="s">
        <v>125</v>
      </c>
    </row>
    <row r="11" spans="1:29" x14ac:dyDescent="0.2">
      <c r="A11" s="43"/>
      <c r="B11" s="44"/>
      <c r="C11" s="45"/>
      <c r="M11" s="49">
        <f t="shared" si="1"/>
        <v>0</v>
      </c>
      <c r="N11" s="49" t="str">
        <f t="shared" si="0"/>
        <v>BE</v>
      </c>
      <c r="O11" s="49">
        <f t="shared" si="5"/>
        <v>10.01</v>
      </c>
      <c r="S11" s="56" t="s">
        <v>86</v>
      </c>
      <c r="T11" s="56">
        <f t="shared" si="2"/>
        <v>0</v>
      </c>
      <c r="U11" s="57">
        <f t="shared" si="3"/>
        <v>0</v>
      </c>
      <c r="V11" s="56">
        <f t="shared" si="4"/>
        <v>0</v>
      </c>
      <c r="AC11" s="35" t="s">
        <v>126</v>
      </c>
    </row>
    <row r="12" spans="1:29" x14ac:dyDescent="0.2">
      <c r="A12" s="43"/>
      <c r="B12" s="44"/>
      <c r="C12" s="45"/>
      <c r="E12" s="58"/>
      <c r="M12" s="49">
        <f t="shared" si="1"/>
        <v>0</v>
      </c>
      <c r="N12" s="49" t="str">
        <f t="shared" si="0"/>
        <v>BE</v>
      </c>
      <c r="O12" s="49">
        <f t="shared" si="5"/>
        <v>10.01</v>
      </c>
      <c r="S12" s="56" t="s">
        <v>84</v>
      </c>
      <c r="T12" s="56">
        <f t="shared" si="2"/>
        <v>0</v>
      </c>
      <c r="U12" s="57">
        <f t="shared" si="3"/>
        <v>0</v>
      </c>
      <c r="V12" s="56">
        <f t="shared" si="4"/>
        <v>0</v>
      </c>
      <c r="AC12" s="35" t="s">
        <v>127</v>
      </c>
    </row>
    <row r="13" spans="1:29" x14ac:dyDescent="0.2">
      <c r="A13" s="43"/>
      <c r="B13" s="44"/>
      <c r="C13" s="45"/>
      <c r="M13" s="49">
        <f t="shared" si="1"/>
        <v>0</v>
      </c>
      <c r="N13" s="49" t="str">
        <f t="shared" si="0"/>
        <v>BE</v>
      </c>
      <c r="O13" s="49">
        <f t="shared" si="5"/>
        <v>10.01</v>
      </c>
      <c r="S13" s="56" t="s">
        <v>97</v>
      </c>
      <c r="T13" s="56">
        <f t="shared" si="2"/>
        <v>0</v>
      </c>
      <c r="U13" s="57">
        <f t="shared" si="3"/>
        <v>0</v>
      </c>
      <c r="V13" s="56">
        <f t="shared" si="4"/>
        <v>0</v>
      </c>
      <c r="AC13" s="35" t="s">
        <v>128</v>
      </c>
    </row>
    <row r="14" spans="1:29" x14ac:dyDescent="0.2">
      <c r="A14" s="43"/>
      <c r="B14" s="44"/>
      <c r="C14" s="45"/>
      <c r="E14" s="58"/>
      <c r="M14" s="49">
        <f t="shared" si="1"/>
        <v>0</v>
      </c>
      <c r="N14" s="49" t="str">
        <f t="shared" si="0"/>
        <v>BE</v>
      </c>
      <c r="O14" s="49">
        <f t="shared" si="5"/>
        <v>10.01</v>
      </c>
      <c r="S14" s="62" t="s">
        <v>87</v>
      </c>
      <c r="T14" s="56">
        <f t="shared" si="2"/>
        <v>0</v>
      </c>
      <c r="U14" s="57">
        <f t="shared" si="3"/>
        <v>0</v>
      </c>
      <c r="V14" s="56">
        <f t="shared" si="4"/>
        <v>0</v>
      </c>
      <c r="AC14" s="35" t="s">
        <v>129</v>
      </c>
    </row>
    <row r="15" spans="1:29" x14ac:dyDescent="0.2">
      <c r="A15" s="43"/>
      <c r="B15" s="44"/>
      <c r="C15" s="45"/>
      <c r="M15" s="49">
        <f t="shared" si="1"/>
        <v>0</v>
      </c>
      <c r="N15" s="49" t="str">
        <f t="shared" si="0"/>
        <v>BE</v>
      </c>
      <c r="O15" s="49">
        <f t="shared" si="5"/>
        <v>10.01</v>
      </c>
      <c r="S15" s="56" t="s">
        <v>89</v>
      </c>
      <c r="T15" s="56">
        <f t="shared" si="2"/>
        <v>0</v>
      </c>
      <c r="U15" s="57">
        <f t="shared" si="3"/>
        <v>0</v>
      </c>
      <c r="V15" s="56">
        <f t="shared" si="4"/>
        <v>0</v>
      </c>
      <c r="AC15" s="35" t="s">
        <v>130</v>
      </c>
    </row>
    <row r="16" spans="1:29" x14ac:dyDescent="0.2">
      <c r="A16" s="43"/>
      <c r="B16" s="44"/>
      <c r="C16" s="45"/>
      <c r="M16" s="49">
        <f t="shared" si="1"/>
        <v>0</v>
      </c>
      <c r="N16" s="49" t="str">
        <f t="shared" si="0"/>
        <v>BE</v>
      </c>
      <c r="O16" s="49">
        <f t="shared" si="5"/>
        <v>10.01</v>
      </c>
      <c r="S16" s="56" t="s">
        <v>90</v>
      </c>
      <c r="T16" s="56">
        <f t="shared" si="2"/>
        <v>0</v>
      </c>
      <c r="U16" s="57">
        <f t="shared" si="3"/>
        <v>0</v>
      </c>
      <c r="V16" s="56">
        <f t="shared" si="4"/>
        <v>0</v>
      </c>
      <c r="AC16" s="35" t="s">
        <v>131</v>
      </c>
    </row>
    <row r="17" spans="1:29" x14ac:dyDescent="0.2">
      <c r="A17" s="43"/>
      <c r="B17" s="44"/>
      <c r="C17" s="45"/>
      <c r="M17" s="49">
        <f t="shared" si="1"/>
        <v>0</v>
      </c>
      <c r="N17" s="49" t="str">
        <f t="shared" si="0"/>
        <v>BE</v>
      </c>
      <c r="O17" s="49">
        <f t="shared" si="5"/>
        <v>10.01</v>
      </c>
      <c r="S17" s="56" t="s">
        <v>93</v>
      </c>
      <c r="T17" s="56">
        <f t="shared" si="2"/>
        <v>0</v>
      </c>
      <c r="U17" s="57">
        <f t="shared" si="3"/>
        <v>0</v>
      </c>
      <c r="V17" s="56">
        <f t="shared" si="4"/>
        <v>0</v>
      </c>
      <c r="AC17" s="35" t="s">
        <v>132</v>
      </c>
    </row>
    <row r="18" spans="1:29" x14ac:dyDescent="0.2">
      <c r="A18" s="43"/>
      <c r="B18" s="44"/>
      <c r="C18" s="45"/>
      <c r="E18" s="58"/>
      <c r="M18" s="49">
        <f t="shared" si="1"/>
        <v>0</v>
      </c>
      <c r="N18" s="49" t="str">
        <f t="shared" si="0"/>
        <v>BE</v>
      </c>
      <c r="O18" s="49">
        <f t="shared" si="5"/>
        <v>10.01</v>
      </c>
      <c r="S18" s="56" t="s">
        <v>94</v>
      </c>
      <c r="T18" s="56">
        <f t="shared" si="2"/>
        <v>0</v>
      </c>
      <c r="U18" s="57">
        <f t="shared" si="3"/>
        <v>0</v>
      </c>
      <c r="V18" s="56">
        <f t="shared" si="4"/>
        <v>0</v>
      </c>
      <c r="AC18" s="35" t="s">
        <v>133</v>
      </c>
    </row>
    <row r="19" spans="1:29" x14ac:dyDescent="0.2">
      <c r="A19" s="43"/>
      <c r="B19" s="44"/>
      <c r="C19" s="45"/>
      <c r="E19" s="58"/>
      <c r="M19" s="49">
        <f t="shared" si="1"/>
        <v>0</v>
      </c>
      <c r="N19" s="49" t="str">
        <f t="shared" si="0"/>
        <v>BE</v>
      </c>
      <c r="O19" s="49">
        <f t="shared" si="5"/>
        <v>10.01</v>
      </c>
      <c r="S19" s="62" t="s">
        <v>95</v>
      </c>
      <c r="T19" s="56">
        <f t="shared" si="2"/>
        <v>0</v>
      </c>
      <c r="U19" s="57">
        <f t="shared" si="3"/>
        <v>0</v>
      </c>
      <c r="V19" s="56">
        <f t="shared" si="4"/>
        <v>0</v>
      </c>
      <c r="AC19" s="35" t="s">
        <v>134</v>
      </c>
    </row>
    <row r="20" spans="1:29" x14ac:dyDescent="0.2">
      <c r="A20" s="43"/>
      <c r="B20" s="44"/>
      <c r="C20" s="45"/>
      <c r="M20" s="49">
        <f t="shared" si="1"/>
        <v>0</v>
      </c>
      <c r="N20" s="49" t="str">
        <f t="shared" si="0"/>
        <v>BE</v>
      </c>
      <c r="O20" s="49">
        <f t="shared" si="5"/>
        <v>10.01</v>
      </c>
      <c r="S20" s="56" t="s">
        <v>96</v>
      </c>
      <c r="T20" s="56">
        <f t="shared" si="2"/>
        <v>0</v>
      </c>
      <c r="U20" s="57">
        <f t="shared" si="3"/>
        <v>0</v>
      </c>
      <c r="V20" s="56">
        <f t="shared" si="4"/>
        <v>0</v>
      </c>
      <c r="AC20" s="35" t="s">
        <v>135</v>
      </c>
    </row>
    <row r="21" spans="1:29" x14ac:dyDescent="0.2">
      <c r="A21" s="43"/>
      <c r="B21" s="44"/>
      <c r="C21" s="45"/>
      <c r="M21" s="49">
        <f t="shared" si="1"/>
        <v>0</v>
      </c>
      <c r="N21" s="49" t="str">
        <f t="shared" si="0"/>
        <v>BE</v>
      </c>
      <c r="O21" s="49">
        <f t="shared" si="5"/>
        <v>10.01</v>
      </c>
      <c r="S21" s="56" t="s">
        <v>98</v>
      </c>
      <c r="T21" s="56">
        <f t="shared" si="2"/>
        <v>0</v>
      </c>
      <c r="U21" s="57">
        <f t="shared" si="3"/>
        <v>0</v>
      </c>
      <c r="V21" s="56">
        <f t="shared" si="4"/>
        <v>1</v>
      </c>
      <c r="W21" s="63"/>
      <c r="X21" s="64"/>
      <c r="AC21" s="35" t="s">
        <v>136</v>
      </c>
    </row>
    <row r="22" spans="1:29" ht="12.75" customHeight="1" x14ac:dyDescent="0.2">
      <c r="A22" s="43"/>
      <c r="B22" s="44"/>
      <c r="C22" s="45"/>
      <c r="M22" s="49">
        <f t="shared" si="1"/>
        <v>0</v>
      </c>
      <c r="N22" s="49" t="str">
        <f t="shared" si="0"/>
        <v>BE</v>
      </c>
      <c r="O22" s="49">
        <f t="shared" si="5"/>
        <v>10.01</v>
      </c>
      <c r="S22" s="62" t="s">
        <v>99</v>
      </c>
      <c r="T22" s="56">
        <f t="shared" si="2"/>
        <v>0</v>
      </c>
      <c r="U22" s="57">
        <f t="shared" si="3"/>
        <v>0</v>
      </c>
      <c r="V22" s="56">
        <f t="shared" si="4"/>
        <v>0</v>
      </c>
      <c r="W22" s="65"/>
      <c r="X22" s="66"/>
      <c r="Y22" s="67"/>
      <c r="Z22" s="67"/>
      <c r="AC22" s="35" t="s">
        <v>137</v>
      </c>
    </row>
    <row r="23" spans="1:29" x14ac:dyDescent="0.2">
      <c r="A23" s="43"/>
      <c r="B23" s="44"/>
      <c r="C23" s="45"/>
      <c r="M23" s="49">
        <f t="shared" si="1"/>
        <v>0</v>
      </c>
      <c r="N23" s="49" t="str">
        <f t="shared" si="0"/>
        <v>BE</v>
      </c>
      <c r="O23" s="49">
        <f t="shared" si="5"/>
        <v>10.01</v>
      </c>
      <c r="S23" s="56" t="s">
        <v>100</v>
      </c>
      <c r="T23" s="56">
        <f t="shared" si="2"/>
        <v>0</v>
      </c>
      <c r="U23" s="57">
        <f t="shared" si="3"/>
        <v>0</v>
      </c>
      <c r="V23" s="56">
        <f t="shared" si="4"/>
        <v>0</v>
      </c>
      <c r="W23" s="63"/>
      <c r="X23" s="64"/>
      <c r="AC23" s="35" t="s">
        <v>115</v>
      </c>
    </row>
    <row r="24" spans="1:29" x14ac:dyDescent="0.2">
      <c r="A24" s="43"/>
      <c r="B24" s="44"/>
      <c r="C24" s="45"/>
      <c r="M24" s="49">
        <f t="shared" si="1"/>
        <v>0</v>
      </c>
      <c r="N24" s="49" t="str">
        <f t="shared" si="0"/>
        <v>BE</v>
      </c>
      <c r="O24" s="49">
        <f t="shared" si="5"/>
        <v>10.01</v>
      </c>
      <c r="S24" s="62" t="s">
        <v>101</v>
      </c>
      <c r="T24" s="62">
        <f t="shared" si="2"/>
        <v>0</v>
      </c>
      <c r="U24" s="57">
        <f t="shared" si="3"/>
        <v>0</v>
      </c>
      <c r="V24" s="62">
        <f t="shared" si="4"/>
        <v>0</v>
      </c>
      <c r="X24" s="68"/>
      <c r="Y24" s="69" t="s">
        <v>21</v>
      </c>
      <c r="Z24" s="69" t="s">
        <v>22</v>
      </c>
      <c r="AA24" s="69" t="s">
        <v>23</v>
      </c>
      <c r="AC24" s="35" t="s">
        <v>111</v>
      </c>
    </row>
    <row r="25" spans="1:29" ht="71.25" customHeight="1" x14ac:dyDescent="0.2">
      <c r="A25" s="43"/>
      <c r="B25" s="44"/>
      <c r="C25" s="45"/>
      <c r="D25" s="58"/>
      <c r="M25" s="49">
        <f t="shared" si="1"/>
        <v>0</v>
      </c>
      <c r="N25" s="49" t="str">
        <f t="shared" si="0"/>
        <v>BE</v>
      </c>
      <c r="O25" s="49">
        <f t="shared" si="5"/>
        <v>10.01</v>
      </c>
      <c r="S25" s="62" t="s">
        <v>102</v>
      </c>
      <c r="T25" s="62">
        <f t="shared" si="2"/>
        <v>0</v>
      </c>
      <c r="U25" s="70">
        <f t="shared" si="3"/>
        <v>0</v>
      </c>
      <c r="V25" s="62">
        <f t="shared" si="4"/>
        <v>0</v>
      </c>
      <c r="X25" s="69" t="s">
        <v>24</v>
      </c>
      <c r="Y25" s="71" t="s">
        <v>25</v>
      </c>
      <c r="Z25" s="72" t="s">
        <v>26</v>
      </c>
      <c r="AA25" s="72" t="s">
        <v>27</v>
      </c>
    </row>
    <row r="26" spans="1:29" x14ac:dyDescent="0.2">
      <c r="A26" s="43"/>
      <c r="B26" s="44"/>
      <c r="C26" s="45"/>
      <c r="D26" s="58"/>
      <c r="M26" s="49">
        <f t="shared" si="1"/>
        <v>0</v>
      </c>
      <c r="N26" s="49" t="str">
        <f t="shared" si="0"/>
        <v>BE</v>
      </c>
      <c r="O26" s="49">
        <f t="shared" si="5"/>
        <v>10.01</v>
      </c>
      <c r="S26" s="62" t="s">
        <v>103</v>
      </c>
      <c r="T26" s="62">
        <f t="shared" si="2"/>
        <v>0</v>
      </c>
      <c r="U26" s="70">
        <f t="shared" si="3"/>
        <v>0</v>
      </c>
      <c r="V26" s="62">
        <f t="shared" si="4"/>
        <v>0</v>
      </c>
      <c r="X26" s="69" t="s">
        <v>22</v>
      </c>
      <c r="Y26" s="72" t="s">
        <v>28</v>
      </c>
      <c r="Z26" s="72" t="s">
        <v>29</v>
      </c>
      <c r="AA26" s="72" t="s">
        <v>28</v>
      </c>
    </row>
    <row r="27" spans="1:29" ht="54" x14ac:dyDescent="0.2">
      <c r="A27" s="43"/>
      <c r="D27" s="58"/>
      <c r="M27" s="49">
        <f t="shared" si="1"/>
        <v>0</v>
      </c>
      <c r="N27" s="49" t="str">
        <f t="shared" si="0"/>
        <v>BE</v>
      </c>
      <c r="O27" s="49">
        <f t="shared" si="5"/>
        <v>10.01</v>
      </c>
      <c r="S27" s="73" t="s">
        <v>104</v>
      </c>
      <c r="T27" s="62">
        <f t="shared" si="2"/>
        <v>0</v>
      </c>
      <c r="U27" s="70">
        <f t="shared" si="3"/>
        <v>0</v>
      </c>
      <c r="V27" s="62">
        <f t="shared" si="4"/>
        <v>0</v>
      </c>
      <c r="X27" s="69" t="s">
        <v>30</v>
      </c>
      <c r="Y27" s="72" t="s">
        <v>27</v>
      </c>
      <c r="Z27" s="72" t="s">
        <v>26</v>
      </c>
      <c r="AA27" s="71" t="s">
        <v>25</v>
      </c>
    </row>
    <row r="28" spans="1:29" x14ac:dyDescent="0.2">
      <c r="A28" s="43"/>
      <c r="D28" s="58"/>
      <c r="M28" s="49">
        <f t="shared" si="1"/>
        <v>0</v>
      </c>
      <c r="N28" s="49" t="str">
        <f t="shared" si="0"/>
        <v>BE</v>
      </c>
      <c r="O28" s="49">
        <f t="shared" si="5"/>
        <v>10.01</v>
      </c>
      <c r="X28" s="74"/>
      <c r="Y28" s="75"/>
      <c r="Z28" s="75"/>
      <c r="AA28" s="75"/>
    </row>
    <row r="29" spans="1:29" x14ac:dyDescent="0.2">
      <c r="A29" s="43"/>
      <c r="D29" s="58"/>
      <c r="M29" s="49">
        <f t="shared" si="1"/>
        <v>0</v>
      </c>
      <c r="N29" s="49" t="str">
        <f t="shared" si="0"/>
        <v>BE</v>
      </c>
      <c r="O29" s="49">
        <f t="shared" si="5"/>
        <v>10.01</v>
      </c>
      <c r="X29" s="69" t="s">
        <v>28</v>
      </c>
      <c r="Y29" s="72" t="s">
        <v>31</v>
      </c>
      <c r="Z29" s="72" t="s">
        <v>32</v>
      </c>
      <c r="AA29" s="72" t="s">
        <v>33</v>
      </c>
    </row>
    <row r="30" spans="1:29" x14ac:dyDescent="0.2">
      <c r="A30" s="43"/>
      <c r="D30" s="58"/>
      <c r="M30" s="49">
        <f t="shared" si="1"/>
        <v>0</v>
      </c>
      <c r="N30" s="49" t="str">
        <f t="shared" si="0"/>
        <v>BE</v>
      </c>
      <c r="O30" s="49">
        <f t="shared" si="5"/>
        <v>10.01</v>
      </c>
      <c r="X30" s="69" t="s">
        <v>29</v>
      </c>
      <c r="Y30" s="72" t="s">
        <v>34</v>
      </c>
      <c r="Z30" s="72" t="s">
        <v>35</v>
      </c>
      <c r="AA30" s="72" t="s">
        <v>36</v>
      </c>
    </row>
    <row r="31" spans="1:29" x14ac:dyDescent="0.2">
      <c r="A31" s="43"/>
      <c r="B31" s="44"/>
      <c r="C31" s="45"/>
      <c r="D31" s="58"/>
      <c r="M31" s="49">
        <f t="shared" si="1"/>
        <v>0</v>
      </c>
      <c r="N31" s="49" t="str">
        <f t="shared" si="0"/>
        <v>BE</v>
      </c>
      <c r="O31" s="49">
        <f t="shared" si="5"/>
        <v>10.01</v>
      </c>
      <c r="X31" s="69" t="s">
        <v>37</v>
      </c>
      <c r="Y31" s="76" t="s">
        <v>38</v>
      </c>
      <c r="Z31" s="76" t="s">
        <v>39</v>
      </c>
      <c r="AA31" s="72" t="s">
        <v>40</v>
      </c>
    </row>
    <row r="32" spans="1:29" x14ac:dyDescent="0.2">
      <c r="A32" s="43"/>
      <c r="B32" s="44"/>
      <c r="C32" s="45"/>
      <c r="D32" s="58"/>
      <c r="M32" s="49">
        <f t="shared" si="1"/>
        <v>0</v>
      </c>
      <c r="N32" s="49" t="str">
        <f t="shared" si="0"/>
        <v>BE</v>
      </c>
      <c r="O32" s="49">
        <f t="shared" si="5"/>
        <v>10.01</v>
      </c>
      <c r="Y32" s="76" t="s">
        <v>41</v>
      </c>
      <c r="AA32" s="69" t="s">
        <v>42</v>
      </c>
    </row>
    <row r="33" spans="1:28" x14ac:dyDescent="0.2">
      <c r="A33" s="43"/>
      <c r="B33" s="44"/>
      <c r="C33" s="45"/>
      <c r="D33" s="58"/>
      <c r="M33" s="49">
        <f t="shared" si="1"/>
        <v>0</v>
      </c>
      <c r="N33" s="49" t="str">
        <f t="shared" si="0"/>
        <v>BE</v>
      </c>
      <c r="O33" s="49">
        <f t="shared" si="5"/>
        <v>10.01</v>
      </c>
      <c r="AA33" s="72" t="s">
        <v>29</v>
      </c>
      <c r="AB33" s="77"/>
    </row>
    <row r="34" spans="1:28" x14ac:dyDescent="0.2">
      <c r="A34" s="43"/>
      <c r="B34" s="44"/>
      <c r="C34" s="45"/>
      <c r="D34" s="58"/>
      <c r="M34" s="49">
        <f t="shared" si="1"/>
        <v>0</v>
      </c>
      <c r="N34" s="49" t="str">
        <f t="shared" si="0"/>
        <v>BE</v>
      </c>
      <c r="O34" s="49">
        <f t="shared" si="5"/>
        <v>10.01</v>
      </c>
      <c r="S34" s="13" t="s">
        <v>70</v>
      </c>
      <c r="T34" s="78" t="s">
        <v>43</v>
      </c>
      <c r="U34" s="13" t="s">
        <v>19</v>
      </c>
      <c r="V34" s="78" t="s">
        <v>20</v>
      </c>
      <c r="Y34" s="79" t="s">
        <v>44</v>
      </c>
      <c r="AA34" s="72" t="s">
        <v>45</v>
      </c>
    </row>
    <row r="35" spans="1:28" x14ac:dyDescent="0.2">
      <c r="A35" s="43"/>
      <c r="D35" s="58"/>
      <c r="M35" s="49">
        <f t="shared" si="1"/>
        <v>0</v>
      </c>
      <c r="N35" s="49" t="str">
        <f t="shared" si="0"/>
        <v>BE</v>
      </c>
      <c r="O35" s="49">
        <f t="shared" si="5"/>
        <v>10.01</v>
      </c>
      <c r="S35" s="80" t="s">
        <v>46</v>
      </c>
      <c r="T35" s="81">
        <f>SUMIF(D:D,S35,M:M)</f>
        <v>40.04</v>
      </c>
      <c r="U35" s="82">
        <f>IFERROR(COUNTIFS(D:D,S35,N:N,"win")/COUNTIF(D:D,S35),0)</f>
        <v>0.8</v>
      </c>
      <c r="V35" s="80">
        <f>COUNTIF(D:D,S35)</f>
        <v>5</v>
      </c>
      <c r="AA35" s="76" t="s">
        <v>47</v>
      </c>
    </row>
    <row r="36" spans="1:28" x14ac:dyDescent="0.2">
      <c r="A36" s="43"/>
      <c r="D36" s="58"/>
      <c r="M36" s="49">
        <f t="shared" si="1"/>
        <v>0</v>
      </c>
      <c r="N36" s="49" t="str">
        <f t="shared" si="0"/>
        <v>BE</v>
      </c>
      <c r="O36" s="49">
        <f t="shared" si="5"/>
        <v>10.01</v>
      </c>
      <c r="S36" s="80" t="s">
        <v>48</v>
      </c>
      <c r="T36" s="81">
        <f>SUMIF(D:D,S36,M:M)</f>
        <v>0</v>
      </c>
      <c r="U36" s="82">
        <f>IFERROR(COUNTIFS(D:D,S36,N:N,"win")/COUNTIF(D:D,S36),0)</f>
        <v>0</v>
      </c>
      <c r="V36" s="80">
        <f>COUNTIF(D:D,S36)</f>
        <v>0</v>
      </c>
      <c r="Y36" s="83"/>
    </row>
    <row r="37" spans="1:28" x14ac:dyDescent="0.2">
      <c r="A37" s="43"/>
      <c r="B37" s="44"/>
      <c r="C37" s="45"/>
      <c r="D37" s="58"/>
      <c r="M37" s="49">
        <f t="shared" si="1"/>
        <v>0</v>
      </c>
      <c r="N37" s="49" t="str">
        <f t="shared" si="0"/>
        <v>BE</v>
      </c>
      <c r="O37" s="49">
        <f t="shared" si="5"/>
        <v>10.01</v>
      </c>
      <c r="S37" s="80" t="s">
        <v>49</v>
      </c>
      <c r="T37" s="81">
        <f>SUMIF(D:D,S37,M:M)</f>
        <v>0</v>
      </c>
      <c r="U37" s="82">
        <f>IFERROR(COUNTIFS(D:D,S37,N:N,"win")/COUNTIF(D:D,S37),0)</f>
        <v>0</v>
      </c>
      <c r="V37" s="80">
        <f>COUNTIF(D:D,S37)</f>
        <v>0</v>
      </c>
      <c r="W37" s="77"/>
      <c r="X37" s="64"/>
    </row>
    <row r="38" spans="1:28" x14ac:dyDescent="0.2">
      <c r="A38" s="43"/>
      <c r="B38" s="44"/>
      <c r="C38" s="45"/>
      <c r="D38" s="58"/>
      <c r="E38" s="47"/>
      <c r="M38" s="49">
        <f t="shared" si="1"/>
        <v>0</v>
      </c>
      <c r="N38" s="49" t="str">
        <f t="shared" si="0"/>
        <v>BE</v>
      </c>
      <c r="O38" s="49">
        <f t="shared" si="5"/>
        <v>10.01</v>
      </c>
      <c r="Q38" s="49" t="s">
        <v>56</v>
      </c>
      <c r="S38" s="80" t="s">
        <v>50</v>
      </c>
      <c r="T38" s="81">
        <f>SUMIF(D:D,S38,M:M)</f>
        <v>0</v>
      </c>
      <c r="U38" s="82">
        <f>IFERROR(COUNTIFS(D:D,S38,N:N,"win")/COUNTIF(D:D,S38),0)</f>
        <v>0</v>
      </c>
      <c r="V38" s="80">
        <f>COUNTIF(D:D,S38)</f>
        <v>0</v>
      </c>
      <c r="W38" s="77"/>
      <c r="X38" s="64"/>
    </row>
    <row r="39" spans="1:28" x14ac:dyDescent="0.2">
      <c r="A39" s="43"/>
      <c r="B39" s="44"/>
      <c r="C39" s="45"/>
      <c r="D39" s="58"/>
      <c r="M39" s="49">
        <f t="shared" si="1"/>
        <v>0</v>
      </c>
      <c r="N39" s="49" t="str">
        <f t="shared" si="0"/>
        <v>BE</v>
      </c>
      <c r="O39" s="49">
        <f t="shared" si="5"/>
        <v>10.01</v>
      </c>
      <c r="W39" s="77"/>
      <c r="X39" s="64"/>
    </row>
    <row r="40" spans="1:28" x14ac:dyDescent="0.2">
      <c r="A40" s="43"/>
      <c r="B40" s="44"/>
      <c r="C40" s="45"/>
      <c r="D40" s="58"/>
      <c r="M40" s="49">
        <f t="shared" si="1"/>
        <v>0</v>
      </c>
      <c r="N40" s="49" t="str">
        <f t="shared" si="0"/>
        <v>BE</v>
      </c>
      <c r="O40" s="49">
        <f t="shared" si="5"/>
        <v>10.01</v>
      </c>
      <c r="V40" s="64"/>
      <c r="W40" s="63"/>
      <c r="X40" s="64"/>
    </row>
    <row r="41" spans="1:28" x14ac:dyDescent="0.2">
      <c r="A41" s="43"/>
      <c r="B41" s="44"/>
      <c r="C41" s="45"/>
      <c r="D41" s="58"/>
      <c r="M41" s="49">
        <f t="shared" si="1"/>
        <v>0</v>
      </c>
      <c r="N41" s="49" t="str">
        <f t="shared" si="0"/>
        <v>BE</v>
      </c>
      <c r="O41" s="49">
        <f t="shared" si="5"/>
        <v>10.01</v>
      </c>
      <c r="S41" s="84"/>
      <c r="T41" s="84"/>
      <c r="U41" s="84"/>
      <c r="V41" s="85"/>
      <c r="W41" s="63"/>
      <c r="X41" s="64"/>
    </row>
    <row r="42" spans="1:28" x14ac:dyDescent="0.2">
      <c r="A42" s="43"/>
      <c r="B42" s="44"/>
      <c r="C42" s="45"/>
      <c r="D42" s="58"/>
      <c r="M42" s="49">
        <f t="shared" si="1"/>
        <v>0</v>
      </c>
      <c r="N42" s="49" t="str">
        <f t="shared" si="0"/>
        <v>BE</v>
      </c>
      <c r="O42" s="49">
        <f t="shared" si="5"/>
        <v>10.01</v>
      </c>
      <c r="S42" s="84"/>
      <c r="T42" s="84"/>
      <c r="U42" s="85"/>
      <c r="V42" s="85"/>
    </row>
    <row r="43" spans="1:28" x14ac:dyDescent="0.2">
      <c r="A43" s="43"/>
      <c r="B43" s="44"/>
      <c r="C43" s="45"/>
      <c r="D43" s="58"/>
      <c r="M43" s="49">
        <f t="shared" si="1"/>
        <v>0</v>
      </c>
      <c r="N43" s="49" t="str">
        <f t="shared" si="0"/>
        <v>BE</v>
      </c>
      <c r="O43" s="49">
        <f t="shared" si="5"/>
        <v>10.01</v>
      </c>
      <c r="S43" s="84"/>
      <c r="T43" s="84"/>
      <c r="U43" s="85"/>
      <c r="V43" s="85"/>
    </row>
    <row r="44" spans="1:28" x14ac:dyDescent="0.2">
      <c r="A44" s="43"/>
      <c r="B44" s="44"/>
      <c r="C44" s="45"/>
      <c r="D44" s="58"/>
      <c r="M44" s="49">
        <f t="shared" si="1"/>
        <v>0</v>
      </c>
      <c r="N44" s="49" t="str">
        <f t="shared" si="0"/>
        <v>BE</v>
      </c>
      <c r="O44" s="49">
        <f t="shared" si="5"/>
        <v>10.01</v>
      </c>
      <c r="Q44" s="49" t="s">
        <v>56</v>
      </c>
      <c r="S44" s="84"/>
      <c r="T44" s="85"/>
      <c r="U44" s="84"/>
      <c r="V44" s="84"/>
    </row>
    <row r="45" spans="1:28" x14ac:dyDescent="0.2">
      <c r="A45" s="43"/>
      <c r="B45" s="44"/>
      <c r="C45" s="45"/>
      <c r="D45" s="58"/>
      <c r="M45" s="49">
        <f t="shared" si="1"/>
        <v>0</v>
      </c>
      <c r="N45" s="49" t="str">
        <f t="shared" si="0"/>
        <v>BE</v>
      </c>
      <c r="O45" s="49">
        <f t="shared" si="5"/>
        <v>10.01</v>
      </c>
      <c r="Q45" s="49" t="s">
        <v>56</v>
      </c>
      <c r="S45" s="84"/>
      <c r="T45" s="85"/>
      <c r="U45" s="84"/>
      <c r="V45" s="84"/>
      <c r="W45" s="63"/>
      <c r="X45" s="64"/>
    </row>
    <row r="46" spans="1:28" x14ac:dyDescent="0.2">
      <c r="A46" s="43"/>
      <c r="B46" s="44"/>
      <c r="C46" s="45"/>
      <c r="D46" s="58"/>
      <c r="M46" s="49">
        <f t="shared" si="1"/>
        <v>0</v>
      </c>
      <c r="N46" s="49" t="str">
        <f t="shared" si="0"/>
        <v>BE</v>
      </c>
      <c r="O46" s="49">
        <f t="shared" si="5"/>
        <v>10.01</v>
      </c>
      <c r="Q46" s="49" t="s">
        <v>55</v>
      </c>
      <c r="S46" s="84"/>
      <c r="T46" s="85"/>
      <c r="U46" s="84"/>
      <c r="V46" s="84"/>
      <c r="W46" s="63"/>
      <c r="X46" s="64"/>
    </row>
    <row r="47" spans="1:28" x14ac:dyDescent="0.2">
      <c r="A47" s="43"/>
      <c r="B47" s="44"/>
      <c r="C47" s="45"/>
      <c r="D47" s="58"/>
      <c r="M47" s="49">
        <f t="shared" si="1"/>
        <v>0</v>
      </c>
      <c r="N47" s="49" t="str">
        <f t="shared" si="0"/>
        <v>BE</v>
      </c>
      <c r="O47" s="49">
        <f t="shared" si="5"/>
        <v>10.01</v>
      </c>
      <c r="S47" s="84"/>
      <c r="T47" s="84"/>
      <c r="U47" s="84"/>
      <c r="V47" s="84"/>
    </row>
    <row r="48" spans="1:28" x14ac:dyDescent="0.2">
      <c r="A48" s="43"/>
      <c r="B48" s="44"/>
      <c r="D48" s="58"/>
      <c r="M48" s="49">
        <f t="shared" si="1"/>
        <v>0</v>
      </c>
      <c r="N48" s="49" t="str">
        <f t="shared" si="0"/>
        <v>BE</v>
      </c>
      <c r="O48" s="49">
        <f t="shared" si="5"/>
        <v>10.01</v>
      </c>
      <c r="S48" s="84"/>
      <c r="T48" s="84"/>
      <c r="U48" s="84"/>
      <c r="V48" s="84"/>
    </row>
    <row r="49" spans="1:24" x14ac:dyDescent="0.2">
      <c r="A49" s="43"/>
      <c r="B49" s="44"/>
      <c r="C49" s="45"/>
      <c r="D49" s="58"/>
      <c r="M49" s="49">
        <f t="shared" si="1"/>
        <v>0</v>
      </c>
      <c r="N49" s="49" t="str">
        <f t="shared" si="0"/>
        <v>BE</v>
      </c>
      <c r="O49" s="49">
        <f t="shared" si="5"/>
        <v>10.01</v>
      </c>
      <c r="S49" s="84"/>
      <c r="T49" s="85"/>
      <c r="U49" s="84"/>
      <c r="V49" s="84"/>
    </row>
    <row r="50" spans="1:24" x14ac:dyDescent="0.2">
      <c r="A50" s="43"/>
      <c r="B50" s="44"/>
      <c r="C50" s="45"/>
      <c r="D50" s="58"/>
      <c r="M50" s="49">
        <f t="shared" si="1"/>
        <v>0</v>
      </c>
      <c r="N50" s="49" t="str">
        <f t="shared" si="0"/>
        <v>BE</v>
      </c>
      <c r="O50" s="49">
        <f t="shared" si="5"/>
        <v>10.01</v>
      </c>
      <c r="S50" s="84"/>
      <c r="T50" s="85"/>
      <c r="U50" s="84"/>
      <c r="V50" s="84"/>
    </row>
    <row r="51" spans="1:24" x14ac:dyDescent="0.2">
      <c r="A51" s="43"/>
      <c r="B51" s="44"/>
      <c r="C51" s="45"/>
      <c r="D51" s="58"/>
      <c r="M51" s="49">
        <f t="shared" si="1"/>
        <v>0</v>
      </c>
      <c r="N51" s="49" t="str">
        <f t="shared" si="0"/>
        <v>BE</v>
      </c>
      <c r="O51" s="49">
        <f t="shared" si="5"/>
        <v>10.01</v>
      </c>
      <c r="S51" s="77"/>
      <c r="T51" s="64"/>
    </row>
    <row r="52" spans="1:24" x14ac:dyDescent="0.2">
      <c r="A52" s="43"/>
      <c r="B52" s="44"/>
      <c r="C52" s="45"/>
      <c r="D52" s="58"/>
      <c r="M52" s="49">
        <f t="shared" si="1"/>
        <v>0</v>
      </c>
      <c r="N52" s="49" t="str">
        <f t="shared" si="0"/>
        <v>BE</v>
      </c>
      <c r="O52" s="49">
        <f t="shared" si="5"/>
        <v>10.01</v>
      </c>
    </row>
    <row r="53" spans="1:24" x14ac:dyDescent="0.2">
      <c r="A53" s="43"/>
      <c r="B53" s="44"/>
      <c r="C53" s="45"/>
      <c r="D53" s="58"/>
      <c r="M53" s="49">
        <f t="shared" si="1"/>
        <v>0</v>
      </c>
      <c r="N53" s="49" t="str">
        <f t="shared" si="0"/>
        <v>BE</v>
      </c>
      <c r="O53" s="49">
        <f t="shared" si="5"/>
        <v>10.01</v>
      </c>
      <c r="T53" s="64"/>
    </row>
    <row r="54" spans="1:24" x14ac:dyDescent="0.2">
      <c r="A54" s="43"/>
      <c r="B54" s="44"/>
      <c r="C54" s="45"/>
      <c r="D54" s="58"/>
      <c r="M54" s="49">
        <f t="shared" si="1"/>
        <v>0</v>
      </c>
      <c r="N54" s="49" t="str">
        <f t="shared" si="0"/>
        <v>BE</v>
      </c>
      <c r="O54" s="49">
        <f t="shared" si="5"/>
        <v>10.01</v>
      </c>
      <c r="T54" s="64"/>
    </row>
    <row r="55" spans="1:24" x14ac:dyDescent="0.2">
      <c r="A55" s="43"/>
      <c r="B55" s="44"/>
      <c r="C55" s="45"/>
      <c r="D55" s="58"/>
      <c r="M55" s="49">
        <f t="shared" si="1"/>
        <v>0</v>
      </c>
      <c r="N55" s="49" t="str">
        <f t="shared" si="0"/>
        <v>BE</v>
      </c>
      <c r="O55" s="49">
        <f t="shared" si="5"/>
        <v>10.01</v>
      </c>
      <c r="T55" s="64"/>
      <c r="W55" s="63"/>
      <c r="X55" s="64"/>
    </row>
    <row r="56" spans="1:24" x14ac:dyDescent="0.2">
      <c r="A56" s="43"/>
      <c r="B56" s="44"/>
      <c r="C56" s="45"/>
      <c r="D56" s="58"/>
      <c r="M56" s="49">
        <f t="shared" si="1"/>
        <v>0</v>
      </c>
      <c r="N56" s="49" t="str">
        <f t="shared" si="0"/>
        <v>BE</v>
      </c>
      <c r="O56" s="49">
        <f t="shared" si="5"/>
        <v>10.01</v>
      </c>
      <c r="T56" s="64"/>
      <c r="V56" s="64"/>
      <c r="W56" s="63"/>
      <c r="X56" s="64"/>
    </row>
    <row r="57" spans="1:24" x14ac:dyDescent="0.2">
      <c r="A57" s="43"/>
      <c r="B57" s="44"/>
      <c r="C57" s="45"/>
      <c r="D57" s="58"/>
      <c r="M57" s="49">
        <f t="shared" si="1"/>
        <v>0</v>
      </c>
      <c r="N57" s="49" t="str">
        <f t="shared" si="0"/>
        <v>BE</v>
      </c>
      <c r="O57" s="49">
        <f t="shared" si="5"/>
        <v>10.01</v>
      </c>
      <c r="T57" s="64"/>
      <c r="V57" s="64"/>
      <c r="W57" s="63"/>
      <c r="X57" s="64"/>
    </row>
    <row r="58" spans="1:24" x14ac:dyDescent="0.2">
      <c r="A58" s="43"/>
      <c r="B58" s="44"/>
      <c r="C58" s="45"/>
      <c r="D58" s="58"/>
      <c r="M58" s="49">
        <f t="shared" si="1"/>
        <v>0</v>
      </c>
      <c r="N58" s="49" t="str">
        <f t="shared" si="0"/>
        <v>BE</v>
      </c>
      <c r="O58" s="49">
        <f t="shared" si="5"/>
        <v>10.01</v>
      </c>
      <c r="T58" s="64"/>
      <c r="V58" s="64"/>
      <c r="W58" s="63"/>
      <c r="X58" s="64"/>
    </row>
    <row r="59" spans="1:24" x14ac:dyDescent="0.2">
      <c r="A59" s="43"/>
      <c r="B59" s="44"/>
      <c r="C59" s="45"/>
      <c r="D59" s="58"/>
      <c r="M59" s="49">
        <f t="shared" si="1"/>
        <v>0</v>
      </c>
      <c r="N59" s="49" t="str">
        <f t="shared" si="0"/>
        <v>BE</v>
      </c>
      <c r="O59" s="49">
        <f t="shared" si="5"/>
        <v>10.01</v>
      </c>
      <c r="T59" s="64"/>
      <c r="V59" s="64"/>
      <c r="W59" s="63"/>
      <c r="X59" s="64"/>
    </row>
    <row r="60" spans="1:24" x14ac:dyDescent="0.2">
      <c r="A60" s="43"/>
      <c r="B60" s="44"/>
      <c r="C60" s="45"/>
      <c r="D60" s="58"/>
      <c r="M60" s="49">
        <f t="shared" si="1"/>
        <v>0</v>
      </c>
      <c r="N60" s="49" t="str">
        <f t="shared" si="0"/>
        <v>BE</v>
      </c>
      <c r="O60" s="49">
        <f t="shared" si="5"/>
        <v>10.01</v>
      </c>
      <c r="T60" s="64"/>
      <c r="V60" s="64"/>
      <c r="W60" s="63"/>
      <c r="X60" s="64"/>
    </row>
    <row r="61" spans="1:24" x14ac:dyDescent="0.2">
      <c r="A61" s="43"/>
      <c r="B61" s="44"/>
      <c r="C61" s="45"/>
      <c r="D61" s="58"/>
      <c r="M61" s="49">
        <f t="shared" si="1"/>
        <v>0</v>
      </c>
      <c r="N61" s="49" t="str">
        <f t="shared" si="0"/>
        <v>BE</v>
      </c>
      <c r="O61" s="49">
        <f t="shared" si="5"/>
        <v>10.01</v>
      </c>
      <c r="U61" s="64"/>
      <c r="V61" s="64"/>
      <c r="W61" s="63"/>
      <c r="X61" s="64"/>
    </row>
    <row r="62" spans="1:24" x14ac:dyDescent="0.2">
      <c r="A62" s="43"/>
      <c r="B62" s="44"/>
      <c r="C62" s="45"/>
      <c r="D62" s="58"/>
      <c r="H62" s="44"/>
      <c r="I62" s="44"/>
      <c r="M62" s="49">
        <f t="shared" si="1"/>
        <v>0</v>
      </c>
      <c r="N62" s="49" t="str">
        <f t="shared" si="0"/>
        <v>BE</v>
      </c>
      <c r="O62" s="49">
        <f t="shared" si="5"/>
        <v>10.01</v>
      </c>
      <c r="U62" s="64"/>
      <c r="V62" s="64"/>
      <c r="W62" s="63"/>
      <c r="X62" s="64"/>
    </row>
    <row r="63" spans="1:24" x14ac:dyDescent="0.2">
      <c r="A63" s="43"/>
      <c r="B63" s="44"/>
      <c r="C63" s="45"/>
      <c r="D63" s="58"/>
      <c r="H63" s="44"/>
      <c r="I63" s="44"/>
      <c r="M63" s="49">
        <f t="shared" si="1"/>
        <v>0</v>
      </c>
      <c r="N63" s="49" t="str">
        <f t="shared" si="0"/>
        <v>BE</v>
      </c>
      <c r="O63" s="49">
        <f t="shared" si="5"/>
        <v>10.01</v>
      </c>
      <c r="U63" s="64"/>
      <c r="V63" s="64"/>
      <c r="W63" s="63"/>
      <c r="X63" s="64"/>
    </row>
    <row r="64" spans="1:24" x14ac:dyDescent="0.2">
      <c r="A64" s="43"/>
      <c r="B64" s="44"/>
      <c r="C64" s="45"/>
      <c r="D64" s="58"/>
      <c r="H64" s="44"/>
      <c r="I64" s="44"/>
      <c r="M64" s="49">
        <f t="shared" si="1"/>
        <v>0</v>
      </c>
      <c r="N64" s="49" t="str">
        <f t="shared" si="0"/>
        <v>BE</v>
      </c>
      <c r="O64" s="49">
        <f t="shared" si="5"/>
        <v>10.01</v>
      </c>
      <c r="U64" s="64"/>
      <c r="V64" s="64"/>
      <c r="W64" s="63"/>
      <c r="X64" s="64"/>
    </row>
    <row r="65" spans="1:24" x14ac:dyDescent="0.2">
      <c r="A65" s="43"/>
      <c r="B65" s="44"/>
      <c r="C65" s="45"/>
      <c r="D65" s="58"/>
      <c r="H65" s="44"/>
      <c r="I65" s="44"/>
      <c r="M65" s="49">
        <f t="shared" si="1"/>
        <v>0</v>
      </c>
      <c r="N65" s="49" t="str">
        <f t="shared" si="0"/>
        <v>BE</v>
      </c>
      <c r="O65" s="49">
        <f t="shared" si="5"/>
        <v>10.01</v>
      </c>
      <c r="U65" s="64"/>
      <c r="V65" s="64"/>
      <c r="W65" s="63"/>
      <c r="X65" s="64"/>
    </row>
    <row r="66" spans="1:24" x14ac:dyDescent="0.2">
      <c r="A66" s="43"/>
      <c r="B66" s="44"/>
      <c r="C66" s="45"/>
      <c r="D66" s="58"/>
      <c r="H66" s="44"/>
      <c r="I66" s="44"/>
      <c r="M66" s="49">
        <f t="shared" si="1"/>
        <v>0</v>
      </c>
      <c r="N66" s="49" t="str">
        <f t="shared" si="0"/>
        <v>BE</v>
      </c>
      <c r="O66" s="49">
        <f t="shared" si="5"/>
        <v>10.01</v>
      </c>
      <c r="U66" s="64"/>
      <c r="V66" s="64"/>
      <c r="W66" s="63"/>
      <c r="X66" s="64"/>
    </row>
    <row r="67" spans="1:24" x14ac:dyDescent="0.2">
      <c r="A67" s="43"/>
      <c r="B67" s="44"/>
      <c r="C67" s="45"/>
      <c r="D67" s="58"/>
      <c r="H67" s="44"/>
      <c r="I67" s="44"/>
      <c r="M67" s="49">
        <f t="shared" ref="M67:M130" si="6">IF(ISBLANK(L67),IF(H67="Long",(K67-J67)*G67,(J67-K67)*G67),IF(H67="Long",(K67-J67)*(G67/2)+(L67-J67)*(G67/2),(J67-K67)*(G67/2)+(J67-L67)*(G67/2)))</f>
        <v>0</v>
      </c>
      <c r="N67" s="49" t="str">
        <f t="shared" ref="N67:N130" si="7">_xlfn.IFS(M67&gt;0,"win",M67&lt;0,"lose",M67=0,"BE")</f>
        <v>BE</v>
      </c>
      <c r="O67" s="49">
        <f t="shared" si="5"/>
        <v>10.01</v>
      </c>
      <c r="U67" s="64"/>
      <c r="V67" s="64"/>
      <c r="W67" s="63"/>
      <c r="X67" s="64"/>
    </row>
    <row r="68" spans="1:24" x14ac:dyDescent="0.2">
      <c r="A68" s="43"/>
      <c r="B68" s="44"/>
      <c r="C68" s="45"/>
      <c r="D68" s="58"/>
      <c r="H68" s="44"/>
      <c r="I68" s="44"/>
      <c r="M68" s="49">
        <f t="shared" si="6"/>
        <v>0</v>
      </c>
      <c r="N68" s="49" t="str">
        <f t="shared" si="7"/>
        <v>BE</v>
      </c>
      <c r="O68" s="49">
        <f t="shared" si="5"/>
        <v>10.01</v>
      </c>
      <c r="U68" s="64"/>
      <c r="V68" s="64"/>
      <c r="W68" s="63"/>
      <c r="X68" s="64"/>
    </row>
    <row r="69" spans="1:24" x14ac:dyDescent="0.2">
      <c r="B69" s="44"/>
      <c r="C69" s="45"/>
      <c r="D69" s="58"/>
      <c r="H69" s="44"/>
      <c r="I69" s="44"/>
      <c r="M69" s="49">
        <f t="shared" si="6"/>
        <v>0</v>
      </c>
      <c r="N69" s="49" t="str">
        <f t="shared" si="7"/>
        <v>BE</v>
      </c>
      <c r="O69" s="49">
        <f t="shared" si="5"/>
        <v>10.01</v>
      </c>
      <c r="U69" s="64"/>
      <c r="V69" s="64"/>
      <c r="W69" s="63"/>
      <c r="X69" s="64"/>
    </row>
    <row r="70" spans="1:24" x14ac:dyDescent="0.2">
      <c r="B70" s="44"/>
      <c r="C70" s="45"/>
      <c r="D70" s="58"/>
      <c r="H70" s="44"/>
      <c r="I70" s="44"/>
      <c r="M70" s="49">
        <f t="shared" si="6"/>
        <v>0</v>
      </c>
      <c r="N70" s="49" t="str">
        <f t="shared" si="7"/>
        <v>BE</v>
      </c>
      <c r="O70" s="49">
        <f t="shared" si="5"/>
        <v>10.01</v>
      </c>
      <c r="U70" s="64"/>
      <c r="V70" s="64"/>
      <c r="W70" s="63"/>
      <c r="X70" s="64"/>
    </row>
    <row r="71" spans="1:24" x14ac:dyDescent="0.2">
      <c r="B71" s="44"/>
      <c r="D71" s="58"/>
      <c r="H71" s="44"/>
      <c r="I71" s="44"/>
      <c r="M71" s="49">
        <f t="shared" si="6"/>
        <v>0</v>
      </c>
      <c r="N71" s="49" t="str">
        <f t="shared" si="7"/>
        <v>BE</v>
      </c>
      <c r="O71" s="49">
        <f t="shared" si="5"/>
        <v>10.01</v>
      </c>
      <c r="U71" s="64"/>
      <c r="V71" s="64"/>
      <c r="W71" s="63"/>
      <c r="X71" s="64"/>
    </row>
    <row r="72" spans="1:24" x14ac:dyDescent="0.2">
      <c r="B72" s="44"/>
      <c r="C72" s="45"/>
      <c r="D72" s="58"/>
      <c r="H72" s="44"/>
      <c r="I72" s="44"/>
      <c r="M72" s="49">
        <f t="shared" si="6"/>
        <v>0</v>
      </c>
      <c r="N72" s="49" t="str">
        <f t="shared" si="7"/>
        <v>BE</v>
      </c>
      <c r="O72" s="49">
        <f t="shared" ref="O72:O135" si="8">M72+O71</f>
        <v>10.01</v>
      </c>
      <c r="U72" s="64"/>
      <c r="V72" s="64"/>
      <c r="W72" s="63"/>
      <c r="X72" s="64"/>
    </row>
    <row r="73" spans="1:24" x14ac:dyDescent="0.2">
      <c r="B73" s="44"/>
      <c r="C73" s="45"/>
      <c r="D73" s="58"/>
      <c r="H73" s="44"/>
      <c r="I73" s="44"/>
      <c r="M73" s="49">
        <f t="shared" si="6"/>
        <v>0</v>
      </c>
      <c r="N73" s="49" t="str">
        <f t="shared" si="7"/>
        <v>BE</v>
      </c>
      <c r="O73" s="49">
        <f t="shared" si="8"/>
        <v>10.01</v>
      </c>
      <c r="U73" s="64"/>
      <c r="V73" s="64"/>
      <c r="W73" s="63"/>
      <c r="X73" s="64"/>
    </row>
    <row r="74" spans="1:24" x14ac:dyDescent="0.2">
      <c r="B74" s="44"/>
      <c r="D74" s="58"/>
      <c r="H74" s="44"/>
      <c r="I74" s="44"/>
      <c r="M74" s="49">
        <f t="shared" si="6"/>
        <v>0</v>
      </c>
      <c r="N74" s="49" t="str">
        <f t="shared" si="7"/>
        <v>BE</v>
      </c>
      <c r="O74" s="49">
        <f t="shared" si="8"/>
        <v>10.01</v>
      </c>
      <c r="U74" s="64"/>
      <c r="V74" s="64"/>
      <c r="W74" s="63"/>
      <c r="X74" s="64"/>
    </row>
    <row r="75" spans="1:24" x14ac:dyDescent="0.2">
      <c r="B75" s="44"/>
      <c r="C75" s="45"/>
      <c r="D75" s="58"/>
      <c r="H75" s="44"/>
      <c r="I75" s="44"/>
      <c r="M75" s="49">
        <f t="shared" si="6"/>
        <v>0</v>
      </c>
      <c r="N75" s="49" t="str">
        <f t="shared" si="7"/>
        <v>BE</v>
      </c>
      <c r="O75" s="49">
        <f t="shared" si="8"/>
        <v>10.01</v>
      </c>
      <c r="U75" s="64"/>
      <c r="V75" s="64"/>
      <c r="W75" s="63"/>
      <c r="X75" s="64"/>
    </row>
    <row r="76" spans="1:24" x14ac:dyDescent="0.2">
      <c r="B76" s="44"/>
      <c r="C76" s="45"/>
      <c r="D76" s="58"/>
      <c r="H76" s="44"/>
      <c r="I76" s="44"/>
      <c r="M76" s="49">
        <f t="shared" si="6"/>
        <v>0</v>
      </c>
      <c r="N76" s="49" t="str">
        <f t="shared" si="7"/>
        <v>BE</v>
      </c>
      <c r="O76" s="49">
        <f t="shared" si="8"/>
        <v>10.01</v>
      </c>
      <c r="U76" s="64"/>
      <c r="V76" s="64"/>
      <c r="W76" s="63"/>
      <c r="X76" s="64"/>
    </row>
    <row r="77" spans="1:24" x14ac:dyDescent="0.2">
      <c r="B77" s="44"/>
      <c r="C77" s="45"/>
      <c r="D77" s="58"/>
      <c r="H77" s="44"/>
      <c r="I77" s="44"/>
      <c r="M77" s="49">
        <f t="shared" si="6"/>
        <v>0</v>
      </c>
      <c r="N77" s="49" t="str">
        <f t="shared" si="7"/>
        <v>BE</v>
      </c>
      <c r="O77" s="49">
        <f t="shared" si="8"/>
        <v>10.01</v>
      </c>
      <c r="U77" s="64"/>
      <c r="V77" s="64"/>
      <c r="W77" s="63"/>
      <c r="X77" s="64"/>
    </row>
    <row r="78" spans="1:24" x14ac:dyDescent="0.2">
      <c r="B78" s="44"/>
      <c r="C78" s="45"/>
      <c r="D78" s="58"/>
      <c r="H78" s="44"/>
      <c r="I78" s="44"/>
      <c r="M78" s="49">
        <f t="shared" si="6"/>
        <v>0</v>
      </c>
      <c r="N78" s="49" t="str">
        <f t="shared" si="7"/>
        <v>BE</v>
      </c>
      <c r="O78" s="49">
        <f t="shared" si="8"/>
        <v>10.01</v>
      </c>
      <c r="U78" s="64"/>
      <c r="V78" s="64"/>
      <c r="W78" s="63"/>
      <c r="X78" s="64"/>
    </row>
    <row r="79" spans="1:24" x14ac:dyDescent="0.2">
      <c r="B79" s="44"/>
      <c r="D79" s="58"/>
      <c r="H79" s="44"/>
      <c r="I79" s="44"/>
      <c r="M79" s="49">
        <f t="shared" si="6"/>
        <v>0</v>
      </c>
      <c r="N79" s="49" t="str">
        <f t="shared" si="7"/>
        <v>BE</v>
      </c>
      <c r="O79" s="49">
        <f t="shared" si="8"/>
        <v>10.01</v>
      </c>
      <c r="U79" s="64"/>
      <c r="V79" s="64"/>
      <c r="W79" s="63"/>
      <c r="X79" s="64"/>
    </row>
    <row r="80" spans="1:24" x14ac:dyDescent="0.2">
      <c r="B80" s="44"/>
      <c r="C80" s="45"/>
      <c r="D80" s="58"/>
      <c r="H80" s="44"/>
      <c r="I80" s="44"/>
      <c r="M80" s="49">
        <f t="shared" si="6"/>
        <v>0</v>
      </c>
      <c r="N80" s="49" t="str">
        <f t="shared" si="7"/>
        <v>BE</v>
      </c>
      <c r="O80" s="49">
        <f t="shared" si="8"/>
        <v>10.01</v>
      </c>
      <c r="U80" s="64"/>
      <c r="V80" s="64"/>
      <c r="W80" s="63"/>
      <c r="X80" s="64"/>
    </row>
    <row r="81" spans="2:24" x14ac:dyDescent="0.2">
      <c r="B81" s="44"/>
      <c r="C81" s="45"/>
      <c r="D81" s="58"/>
      <c r="M81" s="49">
        <f t="shared" si="6"/>
        <v>0</v>
      </c>
      <c r="N81" s="49" t="str">
        <f t="shared" si="7"/>
        <v>BE</v>
      </c>
      <c r="O81" s="49">
        <f t="shared" si="8"/>
        <v>10.01</v>
      </c>
      <c r="U81" s="64"/>
      <c r="V81" s="64"/>
      <c r="W81" s="63"/>
      <c r="X81" s="64"/>
    </row>
    <row r="82" spans="2:24" x14ac:dyDescent="0.2">
      <c r="B82" s="44"/>
      <c r="C82" s="45"/>
      <c r="D82" s="58"/>
      <c r="M82" s="49">
        <f t="shared" si="6"/>
        <v>0</v>
      </c>
      <c r="N82" s="49" t="str">
        <f t="shared" si="7"/>
        <v>BE</v>
      </c>
      <c r="O82" s="49">
        <f t="shared" si="8"/>
        <v>10.01</v>
      </c>
      <c r="U82" s="64"/>
      <c r="V82" s="64"/>
      <c r="W82" s="63"/>
      <c r="X82" s="64"/>
    </row>
    <row r="83" spans="2:24" x14ac:dyDescent="0.2">
      <c r="B83" s="44"/>
      <c r="C83" s="45"/>
      <c r="D83" s="58"/>
      <c r="M83" s="49">
        <f t="shared" si="6"/>
        <v>0</v>
      </c>
      <c r="N83" s="49" t="str">
        <f t="shared" si="7"/>
        <v>BE</v>
      </c>
      <c r="O83" s="49">
        <f t="shared" si="8"/>
        <v>10.01</v>
      </c>
      <c r="U83" s="64"/>
      <c r="V83" s="64"/>
      <c r="W83" s="63"/>
      <c r="X83" s="64"/>
    </row>
    <row r="84" spans="2:24" x14ac:dyDescent="0.2">
      <c r="B84" s="44"/>
      <c r="C84" s="45"/>
      <c r="D84" s="58"/>
      <c r="M84" s="49">
        <f t="shared" si="6"/>
        <v>0</v>
      </c>
      <c r="N84" s="49" t="str">
        <f t="shared" si="7"/>
        <v>BE</v>
      </c>
      <c r="O84" s="49">
        <f t="shared" si="8"/>
        <v>10.01</v>
      </c>
      <c r="U84" s="64"/>
      <c r="V84" s="64"/>
      <c r="W84" s="63"/>
      <c r="X84" s="64"/>
    </row>
    <row r="85" spans="2:24" x14ac:dyDescent="0.2">
      <c r="B85" s="44"/>
      <c r="C85" s="45"/>
      <c r="D85" s="58"/>
      <c r="M85" s="49">
        <f t="shared" si="6"/>
        <v>0</v>
      </c>
      <c r="N85" s="49" t="str">
        <f t="shared" si="7"/>
        <v>BE</v>
      </c>
      <c r="O85" s="49">
        <f t="shared" si="8"/>
        <v>10.01</v>
      </c>
      <c r="U85" s="64"/>
      <c r="V85" s="64"/>
      <c r="W85" s="63"/>
      <c r="X85" s="64"/>
    </row>
    <row r="86" spans="2:24" x14ac:dyDescent="0.2">
      <c r="B86" s="44"/>
      <c r="C86" s="45"/>
      <c r="D86" s="58"/>
      <c r="M86" s="49">
        <f t="shared" si="6"/>
        <v>0</v>
      </c>
      <c r="N86" s="49" t="str">
        <f t="shared" si="7"/>
        <v>BE</v>
      </c>
      <c r="O86" s="49">
        <f t="shared" si="8"/>
        <v>10.01</v>
      </c>
      <c r="U86" s="64"/>
      <c r="V86" s="64"/>
      <c r="W86" s="63"/>
      <c r="X86" s="64"/>
    </row>
    <row r="87" spans="2:24" x14ac:dyDescent="0.2">
      <c r="B87" s="44"/>
      <c r="C87" s="45"/>
      <c r="D87" s="58"/>
      <c r="M87" s="49">
        <f t="shared" si="6"/>
        <v>0</v>
      </c>
      <c r="N87" s="49" t="str">
        <f t="shared" si="7"/>
        <v>BE</v>
      </c>
      <c r="O87" s="49">
        <f t="shared" si="8"/>
        <v>10.01</v>
      </c>
      <c r="U87" s="64"/>
      <c r="V87" s="64"/>
      <c r="W87" s="63"/>
      <c r="X87" s="64"/>
    </row>
    <row r="88" spans="2:24" x14ac:dyDescent="0.2">
      <c r="B88" s="44"/>
      <c r="C88" s="45"/>
      <c r="D88" s="58"/>
      <c r="M88" s="49">
        <f t="shared" si="6"/>
        <v>0</v>
      </c>
      <c r="N88" s="49" t="str">
        <f t="shared" si="7"/>
        <v>BE</v>
      </c>
      <c r="O88" s="49">
        <f t="shared" si="8"/>
        <v>10.01</v>
      </c>
      <c r="U88" s="64"/>
      <c r="V88" s="64"/>
      <c r="W88" s="63"/>
      <c r="X88" s="64"/>
    </row>
    <row r="89" spans="2:24" x14ac:dyDescent="0.2">
      <c r="B89" s="44"/>
      <c r="C89" s="45"/>
      <c r="D89" s="58"/>
      <c r="M89" s="49">
        <f t="shared" si="6"/>
        <v>0</v>
      </c>
      <c r="N89" s="49" t="str">
        <f t="shared" si="7"/>
        <v>BE</v>
      </c>
      <c r="O89" s="49">
        <f t="shared" si="8"/>
        <v>10.01</v>
      </c>
      <c r="U89" s="64"/>
      <c r="V89" s="64"/>
      <c r="W89" s="63"/>
      <c r="X89" s="64"/>
    </row>
    <row r="90" spans="2:24" x14ac:dyDescent="0.2">
      <c r="B90" s="44"/>
      <c r="C90" s="45"/>
      <c r="D90" s="58"/>
      <c r="M90" s="49">
        <f t="shared" si="6"/>
        <v>0</v>
      </c>
      <c r="N90" s="49" t="str">
        <f t="shared" si="7"/>
        <v>BE</v>
      </c>
      <c r="O90" s="49">
        <f t="shared" si="8"/>
        <v>10.01</v>
      </c>
      <c r="U90" s="64"/>
      <c r="V90" s="64"/>
      <c r="W90" s="63"/>
      <c r="X90" s="64"/>
    </row>
    <row r="91" spans="2:24" x14ac:dyDescent="0.2">
      <c r="B91" s="44"/>
      <c r="C91" s="45"/>
      <c r="D91" s="58"/>
      <c r="M91" s="49">
        <f t="shared" si="6"/>
        <v>0</v>
      </c>
      <c r="N91" s="49" t="str">
        <f t="shared" si="7"/>
        <v>BE</v>
      </c>
      <c r="O91" s="49">
        <f t="shared" si="8"/>
        <v>10.01</v>
      </c>
      <c r="U91" s="64"/>
      <c r="V91" s="64"/>
      <c r="W91" s="63"/>
      <c r="X91" s="64"/>
    </row>
    <row r="92" spans="2:24" x14ac:dyDescent="0.2">
      <c r="B92" s="44"/>
      <c r="C92" s="45"/>
      <c r="D92" s="58"/>
      <c r="M92" s="49">
        <f t="shared" si="6"/>
        <v>0</v>
      </c>
      <c r="N92" s="49" t="str">
        <f t="shared" si="7"/>
        <v>BE</v>
      </c>
      <c r="O92" s="49">
        <f t="shared" si="8"/>
        <v>10.01</v>
      </c>
      <c r="U92" s="64"/>
      <c r="V92" s="64"/>
      <c r="W92" s="63"/>
      <c r="X92" s="64"/>
    </row>
    <row r="93" spans="2:24" x14ac:dyDescent="0.2">
      <c r="B93" s="44"/>
      <c r="C93" s="45"/>
      <c r="D93" s="58"/>
      <c r="M93" s="49">
        <f t="shared" si="6"/>
        <v>0</v>
      </c>
      <c r="N93" s="49" t="str">
        <f t="shared" si="7"/>
        <v>BE</v>
      </c>
      <c r="O93" s="49">
        <f t="shared" si="8"/>
        <v>10.01</v>
      </c>
      <c r="U93" s="64"/>
      <c r="V93" s="64"/>
      <c r="W93" s="63"/>
      <c r="X93" s="64"/>
    </row>
    <row r="94" spans="2:24" x14ac:dyDescent="0.2">
      <c r="B94" s="44"/>
      <c r="C94" s="45"/>
      <c r="D94" s="58"/>
      <c r="M94" s="49">
        <f t="shared" si="6"/>
        <v>0</v>
      </c>
      <c r="N94" s="49" t="str">
        <f t="shared" si="7"/>
        <v>BE</v>
      </c>
      <c r="O94" s="49">
        <f t="shared" si="8"/>
        <v>10.01</v>
      </c>
      <c r="U94" s="64"/>
      <c r="V94" s="64"/>
      <c r="W94" s="63"/>
      <c r="X94" s="64"/>
    </row>
    <row r="95" spans="2:24" x14ac:dyDescent="0.2">
      <c r="B95" s="44"/>
      <c r="C95" s="45"/>
      <c r="D95" s="58"/>
      <c r="M95" s="49">
        <f t="shared" si="6"/>
        <v>0</v>
      </c>
      <c r="N95" s="49" t="str">
        <f t="shared" si="7"/>
        <v>BE</v>
      </c>
      <c r="O95" s="49">
        <f t="shared" si="8"/>
        <v>10.01</v>
      </c>
      <c r="U95" s="64"/>
      <c r="V95" s="64"/>
      <c r="W95" s="63"/>
      <c r="X95" s="64"/>
    </row>
    <row r="96" spans="2:24" x14ac:dyDescent="0.2">
      <c r="B96" s="44"/>
      <c r="C96" s="45"/>
      <c r="D96" s="58"/>
      <c r="M96" s="49">
        <f t="shared" si="6"/>
        <v>0</v>
      </c>
      <c r="N96" s="49" t="str">
        <f t="shared" si="7"/>
        <v>BE</v>
      </c>
      <c r="O96" s="49">
        <f t="shared" si="8"/>
        <v>10.01</v>
      </c>
      <c r="U96" s="64"/>
      <c r="V96" s="64"/>
      <c r="W96" s="63"/>
      <c r="X96" s="64"/>
    </row>
    <row r="97" spans="2:24" x14ac:dyDescent="0.2">
      <c r="B97" s="44"/>
      <c r="C97" s="45"/>
      <c r="D97" s="58"/>
      <c r="M97" s="49">
        <f t="shared" si="6"/>
        <v>0</v>
      </c>
      <c r="N97" s="49" t="str">
        <f t="shared" si="7"/>
        <v>BE</v>
      </c>
      <c r="O97" s="49">
        <f t="shared" si="8"/>
        <v>10.01</v>
      </c>
      <c r="U97" s="64"/>
      <c r="V97" s="64"/>
      <c r="W97" s="63"/>
      <c r="X97" s="64"/>
    </row>
    <row r="98" spans="2:24" x14ac:dyDescent="0.2">
      <c r="B98" s="44"/>
      <c r="C98" s="45"/>
      <c r="D98" s="58"/>
      <c r="M98" s="49">
        <f t="shared" si="6"/>
        <v>0</v>
      </c>
      <c r="N98" s="49" t="str">
        <f t="shared" si="7"/>
        <v>BE</v>
      </c>
      <c r="O98" s="49">
        <f t="shared" si="8"/>
        <v>10.01</v>
      </c>
      <c r="U98" s="64"/>
      <c r="V98" s="64"/>
      <c r="W98" s="63"/>
      <c r="X98" s="64"/>
    </row>
    <row r="99" spans="2:24" x14ac:dyDescent="0.2">
      <c r="B99" s="44"/>
      <c r="C99" s="45"/>
      <c r="D99" s="58"/>
      <c r="M99" s="49">
        <f t="shared" si="6"/>
        <v>0</v>
      </c>
      <c r="N99" s="49" t="str">
        <f t="shared" si="7"/>
        <v>BE</v>
      </c>
      <c r="O99" s="49">
        <f t="shared" si="8"/>
        <v>10.01</v>
      </c>
      <c r="U99" s="64"/>
      <c r="V99" s="64"/>
      <c r="W99" s="63"/>
      <c r="X99" s="64"/>
    </row>
    <row r="100" spans="2:24" x14ac:dyDescent="0.2">
      <c r="B100" s="44"/>
      <c r="C100" s="45"/>
      <c r="D100" s="58"/>
      <c r="M100" s="49">
        <f t="shared" si="6"/>
        <v>0</v>
      </c>
      <c r="N100" s="49" t="str">
        <f t="shared" si="7"/>
        <v>BE</v>
      </c>
      <c r="O100" s="49">
        <f t="shared" si="8"/>
        <v>10.01</v>
      </c>
      <c r="U100" s="64"/>
      <c r="V100" s="64"/>
      <c r="W100" s="63"/>
      <c r="X100" s="64"/>
    </row>
    <row r="101" spans="2:24" x14ac:dyDescent="0.2">
      <c r="B101" s="44"/>
      <c r="C101" s="45"/>
      <c r="D101" s="58"/>
      <c r="M101" s="49">
        <f t="shared" si="6"/>
        <v>0</v>
      </c>
      <c r="N101" s="49" t="str">
        <f t="shared" si="7"/>
        <v>BE</v>
      </c>
      <c r="O101" s="49">
        <f t="shared" si="8"/>
        <v>10.01</v>
      </c>
      <c r="U101" s="64"/>
      <c r="V101" s="64"/>
      <c r="W101" s="63"/>
      <c r="X101" s="64"/>
    </row>
    <row r="102" spans="2:24" x14ac:dyDescent="0.2">
      <c r="B102" s="44"/>
      <c r="C102" s="45"/>
      <c r="D102" s="58"/>
      <c r="M102" s="49">
        <f t="shared" si="6"/>
        <v>0</v>
      </c>
      <c r="N102" s="49" t="str">
        <f t="shared" si="7"/>
        <v>BE</v>
      </c>
      <c r="O102" s="49">
        <f t="shared" si="8"/>
        <v>10.01</v>
      </c>
    </row>
    <row r="103" spans="2:24" x14ac:dyDescent="0.2">
      <c r="B103" s="44"/>
      <c r="C103" s="45"/>
      <c r="D103" s="58"/>
      <c r="M103" s="49">
        <f t="shared" si="6"/>
        <v>0</v>
      </c>
      <c r="N103" s="49" t="str">
        <f t="shared" si="7"/>
        <v>BE</v>
      </c>
      <c r="O103" s="49">
        <f t="shared" si="8"/>
        <v>10.01</v>
      </c>
    </row>
    <row r="104" spans="2:24" x14ac:dyDescent="0.2">
      <c r="B104" s="44"/>
      <c r="C104" s="45"/>
      <c r="D104" s="58"/>
      <c r="M104" s="49">
        <f t="shared" si="6"/>
        <v>0</v>
      </c>
      <c r="N104" s="49" t="str">
        <f t="shared" si="7"/>
        <v>BE</v>
      </c>
      <c r="O104" s="49">
        <f t="shared" si="8"/>
        <v>10.01</v>
      </c>
    </row>
    <row r="105" spans="2:24" x14ac:dyDescent="0.2">
      <c r="B105" s="44"/>
      <c r="C105" s="45"/>
      <c r="D105" s="58"/>
      <c r="M105" s="49">
        <f t="shared" si="6"/>
        <v>0</v>
      </c>
      <c r="N105" s="49" t="str">
        <f t="shared" si="7"/>
        <v>BE</v>
      </c>
      <c r="O105" s="49">
        <f t="shared" si="8"/>
        <v>10.01</v>
      </c>
    </row>
    <row r="106" spans="2:24" x14ac:dyDescent="0.2">
      <c r="B106" s="44"/>
      <c r="C106" s="45"/>
      <c r="D106" s="58"/>
      <c r="M106" s="49">
        <f t="shared" si="6"/>
        <v>0</v>
      </c>
      <c r="N106" s="49" t="str">
        <f t="shared" si="7"/>
        <v>BE</v>
      </c>
      <c r="O106" s="49">
        <f t="shared" si="8"/>
        <v>10.01</v>
      </c>
    </row>
    <row r="107" spans="2:24" x14ac:dyDescent="0.2">
      <c r="B107" s="44"/>
      <c r="C107" s="45"/>
      <c r="D107" s="58"/>
      <c r="M107" s="49">
        <f t="shared" si="6"/>
        <v>0</v>
      </c>
      <c r="N107" s="49" t="str">
        <f t="shared" si="7"/>
        <v>BE</v>
      </c>
      <c r="O107" s="49">
        <f t="shared" si="8"/>
        <v>10.01</v>
      </c>
    </row>
    <row r="108" spans="2:24" x14ac:dyDescent="0.2">
      <c r="B108" s="44"/>
      <c r="C108" s="45"/>
      <c r="D108" s="58"/>
      <c r="M108" s="49">
        <f t="shared" si="6"/>
        <v>0</v>
      </c>
      <c r="N108" s="49" t="str">
        <f t="shared" si="7"/>
        <v>BE</v>
      </c>
      <c r="O108" s="49">
        <f t="shared" si="8"/>
        <v>10.01</v>
      </c>
    </row>
    <row r="109" spans="2:24" x14ac:dyDescent="0.2">
      <c r="B109" s="44"/>
      <c r="C109" s="45"/>
      <c r="D109" s="58"/>
      <c r="M109" s="49">
        <f t="shared" si="6"/>
        <v>0</v>
      </c>
      <c r="N109" s="49" t="str">
        <f t="shared" si="7"/>
        <v>BE</v>
      </c>
      <c r="O109" s="49">
        <f t="shared" si="8"/>
        <v>10.01</v>
      </c>
    </row>
    <row r="110" spans="2:24" x14ac:dyDescent="0.2">
      <c r="B110" s="44"/>
      <c r="C110" s="45"/>
      <c r="D110" s="58"/>
      <c r="M110" s="49">
        <f t="shared" si="6"/>
        <v>0</v>
      </c>
      <c r="N110" s="49" t="str">
        <f t="shared" si="7"/>
        <v>BE</v>
      </c>
      <c r="O110" s="49">
        <f t="shared" si="8"/>
        <v>10.01</v>
      </c>
    </row>
    <row r="111" spans="2:24" x14ac:dyDescent="0.2">
      <c r="B111" s="44"/>
      <c r="C111" s="45"/>
      <c r="D111" s="58"/>
      <c r="M111" s="49">
        <f t="shared" si="6"/>
        <v>0</v>
      </c>
      <c r="N111" s="49" t="str">
        <f t="shared" si="7"/>
        <v>BE</v>
      </c>
      <c r="O111" s="49">
        <f t="shared" si="8"/>
        <v>10.01</v>
      </c>
    </row>
    <row r="112" spans="2:24" x14ac:dyDescent="0.2">
      <c r="B112" s="44"/>
      <c r="C112" s="45"/>
      <c r="D112" s="58"/>
      <c r="M112" s="49">
        <f t="shared" si="6"/>
        <v>0</v>
      </c>
      <c r="N112" s="49" t="str">
        <f t="shared" si="7"/>
        <v>BE</v>
      </c>
      <c r="O112" s="49">
        <f t="shared" si="8"/>
        <v>10.01</v>
      </c>
    </row>
    <row r="113" spans="2:15" x14ac:dyDescent="0.2">
      <c r="B113" s="44"/>
      <c r="C113" s="45"/>
      <c r="D113" s="58"/>
      <c r="M113" s="49">
        <f t="shared" si="6"/>
        <v>0</v>
      </c>
      <c r="N113" s="49" t="str">
        <f t="shared" si="7"/>
        <v>BE</v>
      </c>
      <c r="O113" s="49">
        <f t="shared" si="8"/>
        <v>10.01</v>
      </c>
    </row>
    <row r="114" spans="2:15" x14ac:dyDescent="0.2">
      <c r="B114" s="44"/>
      <c r="C114" s="45"/>
      <c r="D114" s="58"/>
      <c r="M114" s="49">
        <f t="shared" si="6"/>
        <v>0</v>
      </c>
      <c r="N114" s="49" t="str">
        <f t="shared" si="7"/>
        <v>BE</v>
      </c>
      <c r="O114" s="49">
        <f t="shared" si="8"/>
        <v>10.01</v>
      </c>
    </row>
    <row r="115" spans="2:15" x14ac:dyDescent="0.2">
      <c r="B115" s="44"/>
      <c r="C115" s="45"/>
      <c r="D115" s="58"/>
      <c r="M115" s="49">
        <f t="shared" si="6"/>
        <v>0</v>
      </c>
      <c r="N115" s="49" t="str">
        <f t="shared" si="7"/>
        <v>BE</v>
      </c>
      <c r="O115" s="49">
        <f t="shared" si="8"/>
        <v>10.01</v>
      </c>
    </row>
    <row r="116" spans="2:15" x14ac:dyDescent="0.2">
      <c r="B116" s="44"/>
      <c r="C116" s="45"/>
      <c r="D116" s="58"/>
      <c r="M116" s="49">
        <f t="shared" si="6"/>
        <v>0</v>
      </c>
      <c r="N116" s="49" t="str">
        <f t="shared" si="7"/>
        <v>BE</v>
      </c>
      <c r="O116" s="49">
        <f t="shared" si="8"/>
        <v>10.01</v>
      </c>
    </row>
    <row r="117" spans="2:15" x14ac:dyDescent="0.2">
      <c r="B117" s="44"/>
      <c r="C117" s="45"/>
      <c r="D117" s="58"/>
      <c r="M117" s="49">
        <f t="shared" si="6"/>
        <v>0</v>
      </c>
      <c r="N117" s="49" t="str">
        <f t="shared" si="7"/>
        <v>BE</v>
      </c>
      <c r="O117" s="49">
        <f t="shared" si="8"/>
        <v>10.01</v>
      </c>
    </row>
    <row r="118" spans="2:15" x14ac:dyDescent="0.2">
      <c r="B118" s="44"/>
      <c r="C118" s="45"/>
      <c r="D118" s="58"/>
      <c r="M118" s="49">
        <f t="shared" si="6"/>
        <v>0</v>
      </c>
      <c r="N118" s="49" t="str">
        <f t="shared" si="7"/>
        <v>BE</v>
      </c>
      <c r="O118" s="49">
        <f t="shared" si="8"/>
        <v>10.01</v>
      </c>
    </row>
    <row r="119" spans="2:15" x14ac:dyDescent="0.2">
      <c r="B119" s="44"/>
      <c r="C119" s="45"/>
      <c r="D119" s="58"/>
      <c r="H119" s="44"/>
      <c r="I119" s="44"/>
      <c r="M119" s="49">
        <f t="shared" si="6"/>
        <v>0</v>
      </c>
      <c r="N119" s="49" t="str">
        <f t="shared" si="7"/>
        <v>BE</v>
      </c>
      <c r="O119" s="49">
        <f t="shared" si="8"/>
        <v>10.01</v>
      </c>
    </row>
    <row r="120" spans="2:15" x14ac:dyDescent="0.2">
      <c r="B120" s="44"/>
      <c r="C120" s="45"/>
      <c r="D120" s="58"/>
      <c r="H120" s="44"/>
      <c r="I120" s="44"/>
      <c r="M120" s="49">
        <f t="shared" si="6"/>
        <v>0</v>
      </c>
      <c r="N120" s="49" t="str">
        <f t="shared" si="7"/>
        <v>BE</v>
      </c>
      <c r="O120" s="49">
        <f t="shared" si="8"/>
        <v>10.01</v>
      </c>
    </row>
    <row r="121" spans="2:15" x14ac:dyDescent="0.2">
      <c r="B121" s="44"/>
      <c r="C121" s="45"/>
      <c r="D121" s="58"/>
      <c r="H121" s="44"/>
      <c r="I121" s="44"/>
      <c r="M121" s="49">
        <f t="shared" si="6"/>
        <v>0</v>
      </c>
      <c r="N121" s="49" t="str">
        <f t="shared" si="7"/>
        <v>BE</v>
      </c>
      <c r="O121" s="49">
        <f t="shared" si="8"/>
        <v>10.01</v>
      </c>
    </row>
    <row r="122" spans="2:15" x14ac:dyDescent="0.2">
      <c r="B122" s="44"/>
      <c r="C122" s="45"/>
      <c r="D122" s="58"/>
      <c r="H122" s="44"/>
      <c r="I122" s="44"/>
      <c r="M122" s="49">
        <f t="shared" si="6"/>
        <v>0</v>
      </c>
      <c r="N122" s="49" t="str">
        <f t="shared" si="7"/>
        <v>BE</v>
      </c>
      <c r="O122" s="49">
        <f t="shared" si="8"/>
        <v>10.01</v>
      </c>
    </row>
    <row r="123" spans="2:15" x14ac:dyDescent="0.2">
      <c r="B123" s="44"/>
      <c r="C123" s="45"/>
      <c r="D123" s="58"/>
      <c r="H123" s="44"/>
      <c r="I123" s="44"/>
      <c r="M123" s="49">
        <f t="shared" si="6"/>
        <v>0</v>
      </c>
      <c r="N123" s="49" t="str">
        <f t="shared" si="7"/>
        <v>BE</v>
      </c>
      <c r="O123" s="49">
        <f t="shared" si="8"/>
        <v>10.01</v>
      </c>
    </row>
    <row r="124" spans="2:15" x14ac:dyDescent="0.2">
      <c r="B124" s="44"/>
      <c r="C124" s="45"/>
      <c r="D124" s="58"/>
      <c r="H124" s="44"/>
      <c r="I124" s="44"/>
      <c r="M124" s="49">
        <f t="shared" si="6"/>
        <v>0</v>
      </c>
      <c r="N124" s="49" t="str">
        <f t="shared" si="7"/>
        <v>BE</v>
      </c>
      <c r="O124" s="49">
        <f t="shared" si="8"/>
        <v>10.01</v>
      </c>
    </row>
    <row r="125" spans="2:15" x14ac:dyDescent="0.2">
      <c r="B125" s="44"/>
      <c r="C125" s="45"/>
      <c r="D125" s="58"/>
      <c r="H125" s="44"/>
      <c r="I125" s="44"/>
      <c r="M125" s="49">
        <f t="shared" si="6"/>
        <v>0</v>
      </c>
      <c r="N125" s="49" t="str">
        <f t="shared" si="7"/>
        <v>BE</v>
      </c>
      <c r="O125" s="49">
        <f t="shared" si="8"/>
        <v>10.01</v>
      </c>
    </row>
    <row r="126" spans="2:15" x14ac:dyDescent="0.2">
      <c r="B126" s="44"/>
      <c r="C126" s="45"/>
      <c r="D126" s="58"/>
      <c r="H126" s="44"/>
      <c r="I126" s="44"/>
      <c r="M126" s="49">
        <f t="shared" si="6"/>
        <v>0</v>
      </c>
      <c r="N126" s="49" t="str">
        <f t="shared" si="7"/>
        <v>BE</v>
      </c>
      <c r="O126" s="49">
        <f t="shared" si="8"/>
        <v>10.01</v>
      </c>
    </row>
    <row r="127" spans="2:15" x14ac:dyDescent="0.2">
      <c r="B127" s="44"/>
      <c r="C127" s="45"/>
      <c r="D127" s="58"/>
      <c r="H127" s="44"/>
      <c r="I127" s="44"/>
      <c r="M127" s="49">
        <f t="shared" si="6"/>
        <v>0</v>
      </c>
      <c r="N127" s="49" t="str">
        <f t="shared" si="7"/>
        <v>BE</v>
      </c>
      <c r="O127" s="49">
        <f t="shared" si="8"/>
        <v>10.01</v>
      </c>
    </row>
    <row r="128" spans="2:15" x14ac:dyDescent="0.2">
      <c r="B128" s="44"/>
      <c r="C128" s="45"/>
      <c r="D128" s="58"/>
      <c r="H128" s="44"/>
      <c r="I128" s="44"/>
      <c r="M128" s="49">
        <f t="shared" si="6"/>
        <v>0</v>
      </c>
      <c r="N128" s="49" t="str">
        <f t="shared" si="7"/>
        <v>BE</v>
      </c>
      <c r="O128" s="49">
        <f t="shared" si="8"/>
        <v>10.01</v>
      </c>
    </row>
    <row r="129" spans="2:15" x14ac:dyDescent="0.2">
      <c r="B129" s="44"/>
      <c r="C129" s="45"/>
      <c r="D129" s="58"/>
      <c r="H129" s="44"/>
      <c r="I129" s="44"/>
      <c r="M129" s="49">
        <f t="shared" si="6"/>
        <v>0</v>
      </c>
      <c r="N129" s="49" t="str">
        <f t="shared" si="7"/>
        <v>BE</v>
      </c>
      <c r="O129" s="49">
        <f t="shared" si="8"/>
        <v>10.01</v>
      </c>
    </row>
    <row r="130" spans="2:15" x14ac:dyDescent="0.2">
      <c r="B130" s="44"/>
      <c r="C130" s="45"/>
      <c r="D130" s="58"/>
      <c r="H130" s="44"/>
      <c r="I130" s="44"/>
      <c r="M130" s="49">
        <f t="shared" si="6"/>
        <v>0</v>
      </c>
      <c r="N130" s="49" t="str">
        <f t="shared" si="7"/>
        <v>BE</v>
      </c>
      <c r="O130" s="49">
        <f t="shared" si="8"/>
        <v>10.01</v>
      </c>
    </row>
    <row r="131" spans="2:15" x14ac:dyDescent="0.2">
      <c r="B131" s="44"/>
      <c r="C131" s="45"/>
      <c r="D131" s="58"/>
      <c r="H131" s="44"/>
      <c r="I131" s="44"/>
      <c r="M131" s="49">
        <f t="shared" ref="M131:M194" si="9">IF(ISBLANK(L131),IF(H131="Long",(K131-J131)*G131,(J131-K131)*G131),IF(H131="Long",(K131-J131)*(G131/2)+(L131-J131)*(G131/2),(J131-K131)*(G131/2)+(J131-L131)*(G131/2)))</f>
        <v>0</v>
      </c>
      <c r="N131" s="49" t="str">
        <f t="shared" ref="N131:N194" si="10">_xlfn.IFS(M131&gt;0,"win",M131&lt;0,"lose",M131=0,"BE")</f>
        <v>BE</v>
      </c>
      <c r="O131" s="49">
        <f t="shared" si="8"/>
        <v>10.01</v>
      </c>
    </row>
    <row r="132" spans="2:15" x14ac:dyDescent="0.2">
      <c r="B132" s="44"/>
      <c r="C132" s="45"/>
      <c r="D132" s="58"/>
      <c r="H132" s="44"/>
      <c r="I132" s="44"/>
      <c r="M132" s="49">
        <f t="shared" si="9"/>
        <v>0</v>
      </c>
      <c r="N132" s="49" t="str">
        <f t="shared" si="10"/>
        <v>BE</v>
      </c>
      <c r="O132" s="49">
        <f t="shared" si="8"/>
        <v>10.01</v>
      </c>
    </row>
    <row r="133" spans="2:15" x14ac:dyDescent="0.2">
      <c r="B133" s="44"/>
      <c r="C133" s="45"/>
      <c r="D133" s="58"/>
      <c r="H133" s="44"/>
      <c r="I133" s="44"/>
      <c r="M133" s="49">
        <f t="shared" si="9"/>
        <v>0</v>
      </c>
      <c r="N133" s="49" t="str">
        <f t="shared" si="10"/>
        <v>BE</v>
      </c>
      <c r="O133" s="49">
        <f t="shared" si="8"/>
        <v>10.01</v>
      </c>
    </row>
    <row r="134" spans="2:15" x14ac:dyDescent="0.2">
      <c r="B134" s="44"/>
      <c r="C134" s="45"/>
      <c r="D134" s="58"/>
      <c r="H134" s="44"/>
      <c r="I134" s="44"/>
      <c r="M134" s="49">
        <f t="shared" si="9"/>
        <v>0</v>
      </c>
      <c r="N134" s="49" t="str">
        <f t="shared" si="10"/>
        <v>BE</v>
      </c>
      <c r="O134" s="49">
        <f t="shared" si="8"/>
        <v>10.01</v>
      </c>
    </row>
    <row r="135" spans="2:15" x14ac:dyDescent="0.2">
      <c r="B135" s="44"/>
      <c r="C135" s="45"/>
      <c r="D135" s="58"/>
      <c r="H135" s="44"/>
      <c r="I135" s="44"/>
      <c r="M135" s="49">
        <f t="shared" si="9"/>
        <v>0</v>
      </c>
      <c r="N135" s="49" t="str">
        <f t="shared" si="10"/>
        <v>BE</v>
      </c>
      <c r="O135" s="49">
        <f t="shared" si="8"/>
        <v>10.01</v>
      </c>
    </row>
    <row r="136" spans="2:15" x14ac:dyDescent="0.2">
      <c r="B136" s="44"/>
      <c r="C136" s="45"/>
      <c r="D136" s="58"/>
      <c r="H136" s="44"/>
      <c r="I136" s="44"/>
      <c r="M136" s="49">
        <f t="shared" si="9"/>
        <v>0</v>
      </c>
      <c r="N136" s="49" t="str">
        <f t="shared" si="10"/>
        <v>BE</v>
      </c>
      <c r="O136" s="49">
        <f t="shared" ref="O136:O199" si="11">M136+O135</f>
        <v>10.01</v>
      </c>
    </row>
    <row r="137" spans="2:15" x14ac:dyDescent="0.2">
      <c r="B137" s="44"/>
      <c r="C137" s="45"/>
      <c r="D137" s="58"/>
      <c r="H137" s="44"/>
      <c r="I137" s="44"/>
      <c r="M137" s="49">
        <f t="shared" si="9"/>
        <v>0</v>
      </c>
      <c r="N137" s="49" t="str">
        <f t="shared" si="10"/>
        <v>BE</v>
      </c>
      <c r="O137" s="49">
        <f t="shared" si="11"/>
        <v>10.01</v>
      </c>
    </row>
    <row r="138" spans="2:15" x14ac:dyDescent="0.2">
      <c r="B138" s="44"/>
      <c r="C138" s="45"/>
      <c r="D138" s="58"/>
      <c r="H138" s="44"/>
      <c r="I138" s="44"/>
      <c r="M138" s="49">
        <f t="shared" si="9"/>
        <v>0</v>
      </c>
      <c r="N138" s="49" t="str">
        <f t="shared" si="10"/>
        <v>BE</v>
      </c>
      <c r="O138" s="49">
        <f t="shared" si="11"/>
        <v>10.01</v>
      </c>
    </row>
    <row r="139" spans="2:15" x14ac:dyDescent="0.2">
      <c r="B139" s="44"/>
      <c r="C139" s="45"/>
      <c r="D139" s="58"/>
      <c r="H139" s="44"/>
      <c r="I139" s="44"/>
      <c r="M139" s="49">
        <f t="shared" si="9"/>
        <v>0</v>
      </c>
      <c r="N139" s="49" t="str">
        <f t="shared" si="10"/>
        <v>BE</v>
      </c>
      <c r="O139" s="49">
        <f t="shared" si="11"/>
        <v>10.01</v>
      </c>
    </row>
    <row r="140" spans="2:15" x14ac:dyDescent="0.2">
      <c r="B140" s="44"/>
      <c r="C140" s="45"/>
      <c r="D140" s="58"/>
      <c r="H140" s="44"/>
      <c r="I140" s="44"/>
      <c r="M140" s="49">
        <f t="shared" si="9"/>
        <v>0</v>
      </c>
      <c r="N140" s="49" t="str">
        <f t="shared" si="10"/>
        <v>BE</v>
      </c>
      <c r="O140" s="49">
        <f t="shared" si="11"/>
        <v>10.01</v>
      </c>
    </row>
    <row r="141" spans="2:15" x14ac:dyDescent="0.2">
      <c r="B141" s="44"/>
      <c r="C141" s="45"/>
      <c r="D141" s="58"/>
      <c r="H141" s="44"/>
      <c r="I141" s="44"/>
      <c r="M141" s="49">
        <f t="shared" si="9"/>
        <v>0</v>
      </c>
      <c r="N141" s="49" t="str">
        <f t="shared" si="10"/>
        <v>BE</v>
      </c>
      <c r="O141" s="49">
        <f t="shared" si="11"/>
        <v>10.01</v>
      </c>
    </row>
    <row r="142" spans="2:15" x14ac:dyDescent="0.2">
      <c r="B142" s="44"/>
      <c r="C142" s="45"/>
      <c r="D142" s="58"/>
      <c r="H142" s="44"/>
      <c r="I142" s="44"/>
      <c r="M142" s="49">
        <f t="shared" si="9"/>
        <v>0</v>
      </c>
      <c r="N142" s="49" t="str">
        <f t="shared" si="10"/>
        <v>BE</v>
      </c>
      <c r="O142" s="49">
        <f t="shared" si="11"/>
        <v>10.01</v>
      </c>
    </row>
    <row r="143" spans="2:15" x14ac:dyDescent="0.2">
      <c r="B143" s="44"/>
      <c r="C143" s="45"/>
      <c r="D143" s="58"/>
      <c r="H143" s="44"/>
      <c r="I143" s="44"/>
      <c r="M143" s="49">
        <f t="shared" si="9"/>
        <v>0</v>
      </c>
      <c r="N143" s="49" t="str">
        <f t="shared" si="10"/>
        <v>BE</v>
      </c>
      <c r="O143" s="49">
        <f t="shared" si="11"/>
        <v>10.01</v>
      </c>
    </row>
    <row r="144" spans="2:15" x14ac:dyDescent="0.2">
      <c r="B144" s="44"/>
      <c r="C144" s="45"/>
      <c r="D144" s="58"/>
      <c r="H144" s="44"/>
      <c r="I144" s="44"/>
      <c r="M144" s="49">
        <f t="shared" si="9"/>
        <v>0</v>
      </c>
      <c r="N144" s="49" t="str">
        <f t="shared" si="10"/>
        <v>BE</v>
      </c>
      <c r="O144" s="49">
        <f t="shared" si="11"/>
        <v>10.01</v>
      </c>
    </row>
    <row r="145" spans="2:15" x14ac:dyDescent="0.2">
      <c r="B145" s="44"/>
      <c r="C145" s="45"/>
      <c r="D145" s="58"/>
      <c r="H145" s="44"/>
      <c r="I145" s="44"/>
      <c r="M145" s="49">
        <f t="shared" si="9"/>
        <v>0</v>
      </c>
      <c r="N145" s="49" t="str">
        <f t="shared" si="10"/>
        <v>BE</v>
      </c>
      <c r="O145" s="49">
        <f t="shared" si="11"/>
        <v>10.01</v>
      </c>
    </row>
    <row r="146" spans="2:15" x14ac:dyDescent="0.2">
      <c r="B146" s="44"/>
      <c r="C146" s="45"/>
      <c r="D146" s="58"/>
      <c r="H146" s="44"/>
      <c r="I146" s="44"/>
      <c r="M146" s="49">
        <f t="shared" si="9"/>
        <v>0</v>
      </c>
      <c r="N146" s="49" t="str">
        <f t="shared" si="10"/>
        <v>BE</v>
      </c>
      <c r="O146" s="49">
        <f t="shared" si="11"/>
        <v>10.01</v>
      </c>
    </row>
    <row r="147" spans="2:15" x14ac:dyDescent="0.2">
      <c r="B147" s="44"/>
      <c r="C147" s="45"/>
      <c r="D147" s="58"/>
      <c r="H147" s="44"/>
      <c r="I147" s="44"/>
      <c r="M147" s="49">
        <f t="shared" si="9"/>
        <v>0</v>
      </c>
      <c r="N147" s="49" t="str">
        <f t="shared" si="10"/>
        <v>BE</v>
      </c>
      <c r="O147" s="49">
        <f t="shared" si="11"/>
        <v>10.01</v>
      </c>
    </row>
    <row r="148" spans="2:15" x14ac:dyDescent="0.2">
      <c r="B148" s="44"/>
      <c r="C148" s="45"/>
      <c r="D148" s="58"/>
      <c r="H148" s="44"/>
      <c r="I148" s="44"/>
      <c r="M148" s="49">
        <f t="shared" si="9"/>
        <v>0</v>
      </c>
      <c r="N148" s="49" t="str">
        <f t="shared" si="10"/>
        <v>BE</v>
      </c>
      <c r="O148" s="49">
        <f t="shared" si="11"/>
        <v>10.01</v>
      </c>
    </row>
    <row r="149" spans="2:15" x14ac:dyDescent="0.2">
      <c r="B149" s="44"/>
      <c r="C149" s="45"/>
      <c r="D149" s="58"/>
      <c r="H149" s="44"/>
      <c r="I149" s="44"/>
      <c r="M149" s="49">
        <f t="shared" si="9"/>
        <v>0</v>
      </c>
      <c r="N149" s="49" t="str">
        <f t="shared" si="10"/>
        <v>BE</v>
      </c>
      <c r="O149" s="49">
        <f t="shared" si="11"/>
        <v>10.01</v>
      </c>
    </row>
    <row r="150" spans="2:15" x14ac:dyDescent="0.2">
      <c r="B150" s="44"/>
      <c r="C150" s="45"/>
      <c r="D150" s="58"/>
      <c r="H150" s="44"/>
      <c r="I150" s="44"/>
      <c r="M150" s="49">
        <f t="shared" si="9"/>
        <v>0</v>
      </c>
      <c r="N150" s="49" t="str">
        <f t="shared" si="10"/>
        <v>BE</v>
      </c>
      <c r="O150" s="49">
        <f t="shared" si="11"/>
        <v>10.01</v>
      </c>
    </row>
    <row r="151" spans="2:15" x14ac:dyDescent="0.2">
      <c r="B151" s="44"/>
      <c r="C151" s="45"/>
      <c r="D151" s="58"/>
      <c r="M151" s="49">
        <f t="shared" si="9"/>
        <v>0</v>
      </c>
      <c r="N151" s="49" t="str">
        <f t="shared" si="10"/>
        <v>BE</v>
      </c>
      <c r="O151" s="49">
        <f t="shared" si="11"/>
        <v>10.01</v>
      </c>
    </row>
    <row r="152" spans="2:15" x14ac:dyDescent="0.2">
      <c r="B152" s="44"/>
      <c r="C152" s="45"/>
      <c r="D152" s="58"/>
      <c r="M152" s="49">
        <f t="shared" si="9"/>
        <v>0</v>
      </c>
      <c r="N152" s="49" t="str">
        <f t="shared" si="10"/>
        <v>BE</v>
      </c>
      <c r="O152" s="49">
        <f t="shared" si="11"/>
        <v>10.01</v>
      </c>
    </row>
    <row r="153" spans="2:15" x14ac:dyDescent="0.2">
      <c r="B153" s="44"/>
      <c r="C153" s="45"/>
      <c r="D153" s="58"/>
      <c r="M153" s="49">
        <f t="shared" si="9"/>
        <v>0</v>
      </c>
      <c r="N153" s="49" t="str">
        <f t="shared" si="10"/>
        <v>BE</v>
      </c>
      <c r="O153" s="49">
        <f t="shared" si="11"/>
        <v>10.01</v>
      </c>
    </row>
    <row r="154" spans="2:15" x14ac:dyDescent="0.2">
      <c r="B154" s="44"/>
      <c r="C154" s="45"/>
      <c r="D154" s="58"/>
      <c r="M154" s="49">
        <f t="shared" si="9"/>
        <v>0</v>
      </c>
      <c r="N154" s="49" t="str">
        <f t="shared" si="10"/>
        <v>BE</v>
      </c>
      <c r="O154" s="49">
        <f t="shared" si="11"/>
        <v>10.01</v>
      </c>
    </row>
    <row r="155" spans="2:15" x14ac:dyDescent="0.2">
      <c r="B155" s="44"/>
      <c r="C155" s="45"/>
      <c r="D155" s="58"/>
      <c r="M155" s="49">
        <f t="shared" si="9"/>
        <v>0</v>
      </c>
      <c r="N155" s="49" t="str">
        <f t="shared" si="10"/>
        <v>BE</v>
      </c>
      <c r="O155" s="49">
        <f t="shared" si="11"/>
        <v>10.01</v>
      </c>
    </row>
    <row r="156" spans="2:15" x14ac:dyDescent="0.2">
      <c r="B156" s="44"/>
      <c r="C156" s="45"/>
      <c r="D156" s="58"/>
      <c r="M156" s="49">
        <f t="shared" si="9"/>
        <v>0</v>
      </c>
      <c r="N156" s="49" t="str">
        <f t="shared" si="10"/>
        <v>BE</v>
      </c>
      <c r="O156" s="49">
        <f t="shared" si="11"/>
        <v>10.01</v>
      </c>
    </row>
    <row r="157" spans="2:15" x14ac:dyDescent="0.2">
      <c r="B157" s="44"/>
      <c r="C157" s="45"/>
      <c r="D157" s="58"/>
      <c r="M157" s="49">
        <f t="shared" si="9"/>
        <v>0</v>
      </c>
      <c r="N157" s="49" t="str">
        <f t="shared" si="10"/>
        <v>BE</v>
      </c>
      <c r="O157" s="49">
        <f t="shared" si="11"/>
        <v>10.01</v>
      </c>
    </row>
    <row r="158" spans="2:15" x14ac:dyDescent="0.2">
      <c r="B158" s="44"/>
      <c r="C158" s="45"/>
      <c r="D158" s="58"/>
      <c r="M158" s="49">
        <f t="shared" si="9"/>
        <v>0</v>
      </c>
      <c r="N158" s="49" t="str">
        <f t="shared" si="10"/>
        <v>BE</v>
      </c>
      <c r="O158" s="49">
        <f t="shared" si="11"/>
        <v>10.01</v>
      </c>
    </row>
    <row r="159" spans="2:15" x14ac:dyDescent="0.2">
      <c r="B159" s="44"/>
      <c r="C159" s="45"/>
      <c r="D159" s="58"/>
      <c r="M159" s="49">
        <f t="shared" si="9"/>
        <v>0</v>
      </c>
      <c r="N159" s="49" t="str">
        <f t="shared" si="10"/>
        <v>BE</v>
      </c>
      <c r="O159" s="49">
        <f t="shared" si="11"/>
        <v>10.01</v>
      </c>
    </row>
    <row r="160" spans="2:15" x14ac:dyDescent="0.2">
      <c r="B160" s="44"/>
      <c r="C160" s="45"/>
      <c r="D160" s="58"/>
      <c r="M160" s="49">
        <f t="shared" si="9"/>
        <v>0</v>
      </c>
      <c r="N160" s="49" t="str">
        <f t="shared" si="10"/>
        <v>BE</v>
      </c>
      <c r="O160" s="49">
        <f t="shared" si="11"/>
        <v>10.01</v>
      </c>
    </row>
    <row r="161" spans="2:15" x14ac:dyDescent="0.2">
      <c r="B161" s="44"/>
      <c r="C161" s="45"/>
      <c r="D161" s="58"/>
      <c r="M161" s="49">
        <f t="shared" si="9"/>
        <v>0</v>
      </c>
      <c r="N161" s="49" t="str">
        <f t="shared" si="10"/>
        <v>BE</v>
      </c>
      <c r="O161" s="49">
        <f t="shared" si="11"/>
        <v>10.01</v>
      </c>
    </row>
    <row r="162" spans="2:15" x14ac:dyDescent="0.2">
      <c r="B162" s="44"/>
      <c r="C162" s="45"/>
      <c r="D162" s="58"/>
      <c r="M162" s="49">
        <f t="shared" si="9"/>
        <v>0</v>
      </c>
      <c r="N162" s="49" t="str">
        <f t="shared" si="10"/>
        <v>BE</v>
      </c>
      <c r="O162" s="49">
        <f t="shared" si="11"/>
        <v>10.01</v>
      </c>
    </row>
    <row r="163" spans="2:15" x14ac:dyDescent="0.2">
      <c r="B163" s="44"/>
      <c r="C163" s="45"/>
      <c r="D163" s="58"/>
      <c r="M163" s="49">
        <f t="shared" si="9"/>
        <v>0</v>
      </c>
      <c r="N163" s="49" t="str">
        <f t="shared" si="10"/>
        <v>BE</v>
      </c>
      <c r="O163" s="49">
        <f t="shared" si="11"/>
        <v>10.01</v>
      </c>
    </row>
    <row r="164" spans="2:15" x14ac:dyDescent="0.2">
      <c r="B164" s="44"/>
      <c r="C164" s="45"/>
      <c r="D164" s="58"/>
      <c r="M164" s="49">
        <f t="shared" si="9"/>
        <v>0</v>
      </c>
      <c r="N164" s="49" t="str">
        <f t="shared" si="10"/>
        <v>BE</v>
      </c>
      <c r="O164" s="49">
        <f t="shared" si="11"/>
        <v>10.01</v>
      </c>
    </row>
    <row r="165" spans="2:15" x14ac:dyDescent="0.2">
      <c r="B165" s="44"/>
      <c r="C165" s="45"/>
      <c r="D165" s="58"/>
      <c r="M165" s="49">
        <f t="shared" si="9"/>
        <v>0</v>
      </c>
      <c r="N165" s="49" t="str">
        <f t="shared" si="10"/>
        <v>BE</v>
      </c>
      <c r="O165" s="49">
        <f t="shared" si="11"/>
        <v>10.01</v>
      </c>
    </row>
    <row r="166" spans="2:15" x14ac:dyDescent="0.2">
      <c r="B166" s="44"/>
      <c r="C166" s="45"/>
      <c r="D166" s="58"/>
      <c r="M166" s="49">
        <f t="shared" si="9"/>
        <v>0</v>
      </c>
      <c r="N166" s="49" t="str">
        <f t="shared" si="10"/>
        <v>BE</v>
      </c>
      <c r="O166" s="49">
        <f t="shared" si="11"/>
        <v>10.01</v>
      </c>
    </row>
    <row r="167" spans="2:15" x14ac:dyDescent="0.2">
      <c r="B167" s="44"/>
      <c r="C167" s="45"/>
      <c r="D167" s="58"/>
      <c r="M167" s="49">
        <f t="shared" si="9"/>
        <v>0</v>
      </c>
      <c r="N167" s="49" t="str">
        <f t="shared" si="10"/>
        <v>BE</v>
      </c>
      <c r="O167" s="49">
        <f t="shared" si="11"/>
        <v>10.01</v>
      </c>
    </row>
    <row r="168" spans="2:15" x14ac:dyDescent="0.2">
      <c r="B168" s="44"/>
      <c r="C168" s="45"/>
      <c r="D168" s="58"/>
      <c r="M168" s="49">
        <f t="shared" si="9"/>
        <v>0</v>
      </c>
      <c r="N168" s="49" t="str">
        <f t="shared" si="10"/>
        <v>BE</v>
      </c>
      <c r="O168" s="49">
        <f t="shared" si="11"/>
        <v>10.01</v>
      </c>
    </row>
    <row r="169" spans="2:15" x14ac:dyDescent="0.2">
      <c r="B169" s="44"/>
      <c r="C169" s="45"/>
      <c r="D169" s="58"/>
      <c r="M169" s="49">
        <f t="shared" si="9"/>
        <v>0</v>
      </c>
      <c r="N169" s="49" t="str">
        <f t="shared" si="10"/>
        <v>BE</v>
      </c>
      <c r="O169" s="49">
        <f t="shared" si="11"/>
        <v>10.01</v>
      </c>
    </row>
    <row r="170" spans="2:15" x14ac:dyDescent="0.2">
      <c r="B170" s="44"/>
      <c r="C170" s="45"/>
      <c r="D170" s="58"/>
      <c r="M170" s="49">
        <f t="shared" si="9"/>
        <v>0</v>
      </c>
      <c r="N170" s="49" t="str">
        <f t="shared" si="10"/>
        <v>BE</v>
      </c>
      <c r="O170" s="49">
        <f t="shared" si="11"/>
        <v>10.01</v>
      </c>
    </row>
    <row r="171" spans="2:15" x14ac:dyDescent="0.2">
      <c r="B171" s="44"/>
      <c r="C171" s="45"/>
      <c r="D171" s="58"/>
      <c r="M171" s="49">
        <f t="shared" si="9"/>
        <v>0</v>
      </c>
      <c r="N171" s="49" t="str">
        <f t="shared" si="10"/>
        <v>BE</v>
      </c>
      <c r="O171" s="49">
        <f t="shared" si="11"/>
        <v>10.01</v>
      </c>
    </row>
    <row r="172" spans="2:15" x14ac:dyDescent="0.2">
      <c r="B172" s="44"/>
      <c r="C172" s="45"/>
      <c r="D172" s="58"/>
      <c r="M172" s="49">
        <f t="shared" si="9"/>
        <v>0</v>
      </c>
      <c r="N172" s="49" t="str">
        <f t="shared" si="10"/>
        <v>BE</v>
      </c>
      <c r="O172" s="49">
        <f t="shared" si="11"/>
        <v>10.01</v>
      </c>
    </row>
    <row r="173" spans="2:15" x14ac:dyDescent="0.2">
      <c r="B173" s="44"/>
      <c r="C173" s="45"/>
      <c r="D173" s="58"/>
      <c r="M173" s="49">
        <f t="shared" si="9"/>
        <v>0</v>
      </c>
      <c r="N173" s="49" t="str">
        <f t="shared" si="10"/>
        <v>BE</v>
      </c>
      <c r="O173" s="49">
        <f t="shared" si="11"/>
        <v>10.01</v>
      </c>
    </row>
    <row r="174" spans="2:15" x14ac:dyDescent="0.2">
      <c r="B174" s="44"/>
      <c r="C174" s="45"/>
      <c r="D174" s="58"/>
      <c r="M174" s="49">
        <f t="shared" si="9"/>
        <v>0</v>
      </c>
      <c r="N174" s="49" t="str">
        <f t="shared" si="10"/>
        <v>BE</v>
      </c>
      <c r="O174" s="49">
        <f t="shared" si="11"/>
        <v>10.01</v>
      </c>
    </row>
    <row r="175" spans="2:15" x14ac:dyDescent="0.2">
      <c r="B175" s="44"/>
      <c r="C175" s="45"/>
      <c r="D175" s="58"/>
      <c r="M175" s="49">
        <f t="shared" si="9"/>
        <v>0</v>
      </c>
      <c r="N175" s="49" t="str">
        <f t="shared" si="10"/>
        <v>BE</v>
      </c>
      <c r="O175" s="49">
        <f t="shared" si="11"/>
        <v>10.01</v>
      </c>
    </row>
    <row r="176" spans="2:15" x14ac:dyDescent="0.2">
      <c r="B176" s="44"/>
      <c r="C176" s="45"/>
      <c r="D176" s="58"/>
      <c r="M176" s="49">
        <f t="shared" si="9"/>
        <v>0</v>
      </c>
      <c r="N176" s="49" t="str">
        <f t="shared" si="10"/>
        <v>BE</v>
      </c>
      <c r="O176" s="49">
        <f t="shared" si="11"/>
        <v>10.01</v>
      </c>
    </row>
    <row r="177" spans="2:15" x14ac:dyDescent="0.2">
      <c r="B177" s="44"/>
      <c r="C177" s="45"/>
      <c r="D177" s="58"/>
      <c r="M177" s="49">
        <f t="shared" si="9"/>
        <v>0</v>
      </c>
      <c r="N177" s="49" t="str">
        <f t="shared" si="10"/>
        <v>BE</v>
      </c>
      <c r="O177" s="49">
        <f t="shared" si="11"/>
        <v>10.01</v>
      </c>
    </row>
    <row r="178" spans="2:15" x14ac:dyDescent="0.2">
      <c r="B178" s="44"/>
      <c r="C178" s="45"/>
      <c r="D178" s="58"/>
      <c r="M178" s="49">
        <f t="shared" si="9"/>
        <v>0</v>
      </c>
      <c r="N178" s="49" t="str">
        <f t="shared" si="10"/>
        <v>BE</v>
      </c>
      <c r="O178" s="49">
        <f t="shared" si="11"/>
        <v>10.01</v>
      </c>
    </row>
    <row r="179" spans="2:15" x14ac:dyDescent="0.2">
      <c r="B179" s="44"/>
      <c r="C179" s="45"/>
      <c r="D179" s="58"/>
      <c r="M179" s="49">
        <f t="shared" si="9"/>
        <v>0</v>
      </c>
      <c r="N179" s="49" t="str">
        <f t="shared" si="10"/>
        <v>BE</v>
      </c>
      <c r="O179" s="49">
        <f t="shared" si="11"/>
        <v>10.01</v>
      </c>
    </row>
    <row r="180" spans="2:15" x14ac:dyDescent="0.2">
      <c r="B180" s="44"/>
      <c r="C180" s="45"/>
      <c r="D180" s="58"/>
      <c r="M180" s="49">
        <f t="shared" si="9"/>
        <v>0</v>
      </c>
      <c r="N180" s="49" t="str">
        <f t="shared" si="10"/>
        <v>BE</v>
      </c>
      <c r="O180" s="49">
        <f t="shared" si="11"/>
        <v>10.01</v>
      </c>
    </row>
    <row r="181" spans="2:15" x14ac:dyDescent="0.2">
      <c r="B181" s="44"/>
      <c r="C181" s="45"/>
      <c r="D181" s="58"/>
      <c r="M181" s="49">
        <f t="shared" si="9"/>
        <v>0</v>
      </c>
      <c r="N181" s="49" t="str">
        <f t="shared" si="10"/>
        <v>BE</v>
      </c>
      <c r="O181" s="49">
        <f t="shared" si="11"/>
        <v>10.01</v>
      </c>
    </row>
    <row r="182" spans="2:15" x14ac:dyDescent="0.2">
      <c r="B182" s="44"/>
      <c r="C182" s="45"/>
      <c r="D182" s="58"/>
      <c r="M182" s="49">
        <f t="shared" si="9"/>
        <v>0</v>
      </c>
      <c r="N182" s="49" t="str">
        <f t="shared" si="10"/>
        <v>BE</v>
      </c>
      <c r="O182" s="49">
        <f t="shared" si="11"/>
        <v>10.01</v>
      </c>
    </row>
    <row r="183" spans="2:15" x14ac:dyDescent="0.2">
      <c r="B183" s="44"/>
      <c r="C183" s="45"/>
      <c r="D183" s="58"/>
      <c r="M183" s="49">
        <f t="shared" si="9"/>
        <v>0</v>
      </c>
      <c r="N183" s="49" t="str">
        <f t="shared" si="10"/>
        <v>BE</v>
      </c>
      <c r="O183" s="49">
        <f t="shared" si="11"/>
        <v>10.01</v>
      </c>
    </row>
    <row r="184" spans="2:15" x14ac:dyDescent="0.2">
      <c r="B184" s="44"/>
      <c r="C184" s="45"/>
      <c r="D184" s="58"/>
      <c r="M184" s="49">
        <f t="shared" si="9"/>
        <v>0</v>
      </c>
      <c r="N184" s="49" t="str">
        <f t="shared" si="10"/>
        <v>BE</v>
      </c>
      <c r="O184" s="49">
        <f t="shared" si="11"/>
        <v>10.01</v>
      </c>
    </row>
    <row r="185" spans="2:15" x14ac:dyDescent="0.2">
      <c r="B185" s="44"/>
      <c r="C185" s="45"/>
      <c r="D185" s="58"/>
      <c r="M185" s="49">
        <f t="shared" si="9"/>
        <v>0</v>
      </c>
      <c r="N185" s="49" t="str">
        <f t="shared" si="10"/>
        <v>BE</v>
      </c>
      <c r="O185" s="49">
        <f t="shared" si="11"/>
        <v>10.01</v>
      </c>
    </row>
    <row r="186" spans="2:15" x14ac:dyDescent="0.2">
      <c r="B186" s="44"/>
      <c r="C186" s="45"/>
      <c r="D186" s="58"/>
      <c r="M186" s="49">
        <f t="shared" si="9"/>
        <v>0</v>
      </c>
      <c r="N186" s="49" t="str">
        <f t="shared" si="10"/>
        <v>BE</v>
      </c>
      <c r="O186" s="49">
        <f t="shared" si="11"/>
        <v>10.01</v>
      </c>
    </row>
    <row r="187" spans="2:15" x14ac:dyDescent="0.2">
      <c r="B187" s="44"/>
      <c r="C187" s="45"/>
      <c r="D187" s="58"/>
      <c r="M187" s="49">
        <f t="shared" si="9"/>
        <v>0</v>
      </c>
      <c r="N187" s="49" t="str">
        <f t="shared" si="10"/>
        <v>BE</v>
      </c>
      <c r="O187" s="49">
        <f t="shared" si="11"/>
        <v>10.01</v>
      </c>
    </row>
    <row r="188" spans="2:15" x14ac:dyDescent="0.2">
      <c r="B188" s="44"/>
      <c r="C188" s="45"/>
      <c r="D188" s="58"/>
      <c r="M188" s="49">
        <f t="shared" si="9"/>
        <v>0</v>
      </c>
      <c r="N188" s="49" t="str">
        <f t="shared" si="10"/>
        <v>BE</v>
      </c>
      <c r="O188" s="49">
        <f t="shared" si="11"/>
        <v>10.01</v>
      </c>
    </row>
    <row r="189" spans="2:15" x14ac:dyDescent="0.2">
      <c r="B189" s="44"/>
      <c r="C189" s="45"/>
      <c r="D189" s="58"/>
      <c r="M189" s="49">
        <f t="shared" si="9"/>
        <v>0</v>
      </c>
      <c r="N189" s="49" t="str">
        <f t="shared" si="10"/>
        <v>BE</v>
      </c>
      <c r="O189" s="49">
        <f t="shared" si="11"/>
        <v>10.01</v>
      </c>
    </row>
    <row r="190" spans="2:15" x14ac:dyDescent="0.2">
      <c r="B190" s="44"/>
      <c r="C190" s="45"/>
      <c r="D190" s="58"/>
      <c r="M190" s="49">
        <f t="shared" si="9"/>
        <v>0</v>
      </c>
      <c r="N190" s="49" t="str">
        <f t="shared" si="10"/>
        <v>BE</v>
      </c>
      <c r="O190" s="49">
        <f t="shared" si="11"/>
        <v>10.01</v>
      </c>
    </row>
    <row r="191" spans="2:15" x14ac:dyDescent="0.2">
      <c r="B191" s="44"/>
      <c r="C191" s="45"/>
      <c r="D191" s="58"/>
      <c r="M191" s="49">
        <f t="shared" si="9"/>
        <v>0</v>
      </c>
      <c r="N191" s="49" t="str">
        <f t="shared" si="10"/>
        <v>BE</v>
      </c>
      <c r="O191" s="49">
        <f t="shared" si="11"/>
        <v>10.01</v>
      </c>
    </row>
    <row r="192" spans="2:15" x14ac:dyDescent="0.2">
      <c r="B192" s="44"/>
      <c r="C192" s="45"/>
      <c r="D192" s="58"/>
      <c r="M192" s="49">
        <f t="shared" si="9"/>
        <v>0</v>
      </c>
      <c r="N192" s="49" t="str">
        <f t="shared" si="10"/>
        <v>BE</v>
      </c>
      <c r="O192" s="49">
        <f t="shared" si="11"/>
        <v>10.01</v>
      </c>
    </row>
    <row r="193" spans="2:15" x14ac:dyDescent="0.2">
      <c r="B193" s="44"/>
      <c r="C193" s="45"/>
      <c r="D193" s="58"/>
      <c r="M193" s="49">
        <f t="shared" si="9"/>
        <v>0</v>
      </c>
      <c r="N193" s="49" t="str">
        <f t="shared" si="10"/>
        <v>BE</v>
      </c>
      <c r="O193" s="49">
        <f t="shared" si="11"/>
        <v>10.01</v>
      </c>
    </row>
    <row r="194" spans="2:15" x14ac:dyDescent="0.2">
      <c r="B194" s="44"/>
      <c r="C194" s="45"/>
      <c r="D194" s="58"/>
      <c r="M194" s="49">
        <f t="shared" si="9"/>
        <v>0</v>
      </c>
      <c r="N194" s="49" t="str">
        <f t="shared" si="10"/>
        <v>BE</v>
      </c>
      <c r="O194" s="49">
        <f t="shared" si="11"/>
        <v>10.01</v>
      </c>
    </row>
    <row r="195" spans="2:15" x14ac:dyDescent="0.2">
      <c r="B195" s="44"/>
      <c r="C195" s="45"/>
      <c r="D195" s="58"/>
      <c r="M195" s="49">
        <f t="shared" ref="M195:M258" si="12">IF(ISBLANK(L195),IF(H195="Long",(K195-J195)*G195,(J195-K195)*G195),IF(H195="Long",(K195-J195)*(G195/2)+(L195-J195)*(G195/2),(J195-K195)*(G195/2)+(J195-L195)*(G195/2)))</f>
        <v>0</v>
      </c>
      <c r="N195" s="49" t="str">
        <f t="shared" ref="N195:N258" si="13">_xlfn.IFS(M195&gt;0,"win",M195&lt;0,"lose",M195=0,"BE")</f>
        <v>BE</v>
      </c>
      <c r="O195" s="49">
        <f t="shared" si="11"/>
        <v>10.01</v>
      </c>
    </row>
    <row r="196" spans="2:15" x14ac:dyDescent="0.2">
      <c r="B196" s="44"/>
      <c r="C196" s="45"/>
      <c r="D196" s="58"/>
      <c r="M196" s="49">
        <f t="shared" si="12"/>
        <v>0</v>
      </c>
      <c r="N196" s="49" t="str">
        <f t="shared" si="13"/>
        <v>BE</v>
      </c>
      <c r="O196" s="49">
        <f t="shared" si="11"/>
        <v>10.01</v>
      </c>
    </row>
    <row r="197" spans="2:15" x14ac:dyDescent="0.2">
      <c r="B197" s="44"/>
      <c r="C197" s="45"/>
      <c r="D197" s="58"/>
      <c r="M197" s="49">
        <f t="shared" si="12"/>
        <v>0</v>
      </c>
      <c r="N197" s="49" t="str">
        <f t="shared" si="13"/>
        <v>BE</v>
      </c>
      <c r="O197" s="49">
        <f t="shared" si="11"/>
        <v>10.01</v>
      </c>
    </row>
    <row r="198" spans="2:15" x14ac:dyDescent="0.2">
      <c r="B198" s="44"/>
      <c r="C198" s="45"/>
      <c r="D198" s="58"/>
      <c r="M198" s="49">
        <f t="shared" si="12"/>
        <v>0</v>
      </c>
      <c r="N198" s="49" t="str">
        <f t="shared" si="13"/>
        <v>BE</v>
      </c>
      <c r="O198" s="49">
        <f t="shared" si="11"/>
        <v>10.01</v>
      </c>
    </row>
    <row r="199" spans="2:15" x14ac:dyDescent="0.2">
      <c r="B199" s="44"/>
      <c r="C199" s="45"/>
      <c r="D199" s="58"/>
      <c r="M199" s="49">
        <f t="shared" si="12"/>
        <v>0</v>
      </c>
      <c r="N199" s="49" t="str">
        <f t="shared" si="13"/>
        <v>BE</v>
      </c>
      <c r="O199" s="49">
        <f t="shared" si="11"/>
        <v>10.01</v>
      </c>
    </row>
    <row r="200" spans="2:15" x14ac:dyDescent="0.2">
      <c r="B200" s="44"/>
      <c r="C200" s="45"/>
      <c r="D200" s="58"/>
      <c r="M200" s="49">
        <f t="shared" si="12"/>
        <v>0</v>
      </c>
      <c r="N200" s="49" t="str">
        <f t="shared" si="13"/>
        <v>BE</v>
      </c>
      <c r="O200" s="49">
        <f t="shared" ref="O200:O263" si="14">M200+O199</f>
        <v>10.01</v>
      </c>
    </row>
    <row r="201" spans="2:15" x14ac:dyDescent="0.2">
      <c r="B201" s="44"/>
      <c r="C201" s="45"/>
      <c r="D201" s="58"/>
      <c r="M201" s="49">
        <f t="shared" si="12"/>
        <v>0</v>
      </c>
      <c r="N201" s="49" t="str">
        <f t="shared" si="13"/>
        <v>BE</v>
      </c>
      <c r="O201" s="49">
        <f t="shared" si="14"/>
        <v>10.01</v>
      </c>
    </row>
    <row r="202" spans="2:15" x14ac:dyDescent="0.2">
      <c r="B202" s="44"/>
      <c r="C202" s="45"/>
      <c r="D202" s="58"/>
      <c r="M202" s="49">
        <f t="shared" si="12"/>
        <v>0</v>
      </c>
      <c r="N202" s="49" t="str">
        <f t="shared" si="13"/>
        <v>BE</v>
      </c>
      <c r="O202" s="49">
        <f t="shared" si="14"/>
        <v>10.01</v>
      </c>
    </row>
    <row r="203" spans="2:15" x14ac:dyDescent="0.2">
      <c r="B203" s="44"/>
      <c r="C203" s="45"/>
      <c r="D203" s="58"/>
      <c r="M203" s="49">
        <f t="shared" si="12"/>
        <v>0</v>
      </c>
      <c r="N203" s="49" t="str">
        <f t="shared" si="13"/>
        <v>BE</v>
      </c>
      <c r="O203" s="49">
        <f t="shared" si="14"/>
        <v>10.01</v>
      </c>
    </row>
    <row r="204" spans="2:15" x14ac:dyDescent="0.2">
      <c r="B204" s="44"/>
      <c r="C204" s="45"/>
      <c r="D204" s="58"/>
      <c r="M204" s="49">
        <f t="shared" si="12"/>
        <v>0</v>
      </c>
      <c r="N204" s="49" t="str">
        <f t="shared" si="13"/>
        <v>BE</v>
      </c>
      <c r="O204" s="49">
        <f t="shared" si="14"/>
        <v>10.01</v>
      </c>
    </row>
    <row r="205" spans="2:15" x14ac:dyDescent="0.2">
      <c r="B205" s="44"/>
      <c r="C205" s="45"/>
      <c r="D205" s="58"/>
      <c r="M205" s="49">
        <f t="shared" si="12"/>
        <v>0</v>
      </c>
      <c r="N205" s="49" t="str">
        <f t="shared" si="13"/>
        <v>BE</v>
      </c>
      <c r="O205" s="49">
        <f t="shared" si="14"/>
        <v>10.01</v>
      </c>
    </row>
    <row r="206" spans="2:15" x14ac:dyDescent="0.2">
      <c r="B206" s="44"/>
      <c r="C206" s="45"/>
      <c r="D206" s="58"/>
      <c r="M206" s="49">
        <f t="shared" si="12"/>
        <v>0</v>
      </c>
      <c r="N206" s="49" t="str">
        <f t="shared" si="13"/>
        <v>BE</v>
      </c>
      <c r="O206" s="49">
        <f t="shared" si="14"/>
        <v>10.01</v>
      </c>
    </row>
    <row r="207" spans="2:15" x14ac:dyDescent="0.2">
      <c r="B207" s="44"/>
      <c r="C207" s="45"/>
      <c r="D207" s="58"/>
      <c r="M207" s="49">
        <f t="shared" si="12"/>
        <v>0</v>
      </c>
      <c r="N207" s="49" t="str">
        <f t="shared" si="13"/>
        <v>BE</v>
      </c>
      <c r="O207" s="49">
        <f t="shared" si="14"/>
        <v>10.01</v>
      </c>
    </row>
    <row r="208" spans="2:15" x14ac:dyDescent="0.2">
      <c r="B208" s="44"/>
      <c r="C208" s="45"/>
      <c r="D208" s="58"/>
      <c r="M208" s="49">
        <f t="shared" si="12"/>
        <v>0</v>
      </c>
      <c r="N208" s="49" t="str">
        <f t="shared" si="13"/>
        <v>BE</v>
      </c>
      <c r="O208" s="49">
        <f t="shared" si="14"/>
        <v>10.01</v>
      </c>
    </row>
    <row r="209" spans="2:15" x14ac:dyDescent="0.2">
      <c r="B209" s="44"/>
      <c r="C209" s="45"/>
      <c r="D209" s="58"/>
      <c r="M209" s="49">
        <f t="shared" si="12"/>
        <v>0</v>
      </c>
      <c r="N209" s="49" t="str">
        <f t="shared" si="13"/>
        <v>BE</v>
      </c>
      <c r="O209" s="49">
        <f t="shared" si="14"/>
        <v>10.01</v>
      </c>
    </row>
    <row r="210" spans="2:15" x14ac:dyDescent="0.2">
      <c r="B210" s="44"/>
      <c r="C210" s="45"/>
      <c r="D210" s="58"/>
      <c r="M210" s="49">
        <f t="shared" si="12"/>
        <v>0</v>
      </c>
      <c r="N210" s="49" t="str">
        <f t="shared" si="13"/>
        <v>BE</v>
      </c>
      <c r="O210" s="49">
        <f t="shared" si="14"/>
        <v>10.01</v>
      </c>
    </row>
    <row r="211" spans="2:15" x14ac:dyDescent="0.2">
      <c r="B211" s="44"/>
      <c r="C211" s="45"/>
      <c r="D211" s="58"/>
      <c r="M211" s="49">
        <f t="shared" si="12"/>
        <v>0</v>
      </c>
      <c r="N211" s="49" t="str">
        <f t="shared" si="13"/>
        <v>BE</v>
      </c>
      <c r="O211" s="49">
        <f t="shared" si="14"/>
        <v>10.01</v>
      </c>
    </row>
    <row r="212" spans="2:15" x14ac:dyDescent="0.2">
      <c r="B212" s="44"/>
      <c r="C212" s="45"/>
      <c r="D212" s="58"/>
      <c r="M212" s="49">
        <f t="shared" si="12"/>
        <v>0</v>
      </c>
      <c r="N212" s="49" t="str">
        <f t="shared" si="13"/>
        <v>BE</v>
      </c>
      <c r="O212" s="49">
        <f t="shared" si="14"/>
        <v>10.01</v>
      </c>
    </row>
    <row r="213" spans="2:15" x14ac:dyDescent="0.2">
      <c r="B213" s="44"/>
      <c r="C213" s="45"/>
      <c r="D213" s="58"/>
      <c r="M213" s="49">
        <f t="shared" si="12"/>
        <v>0</v>
      </c>
      <c r="N213" s="49" t="str">
        <f t="shared" si="13"/>
        <v>BE</v>
      </c>
      <c r="O213" s="49">
        <f t="shared" si="14"/>
        <v>10.01</v>
      </c>
    </row>
    <row r="214" spans="2:15" x14ac:dyDescent="0.2">
      <c r="B214" s="44"/>
      <c r="C214" s="45"/>
      <c r="D214" s="58"/>
      <c r="M214" s="49">
        <f t="shared" si="12"/>
        <v>0</v>
      </c>
      <c r="N214" s="49" t="str">
        <f t="shared" si="13"/>
        <v>BE</v>
      </c>
      <c r="O214" s="49">
        <f t="shared" si="14"/>
        <v>10.01</v>
      </c>
    </row>
    <row r="215" spans="2:15" x14ac:dyDescent="0.2">
      <c r="B215" s="44"/>
      <c r="C215" s="45"/>
      <c r="D215" s="58"/>
      <c r="M215" s="49">
        <f t="shared" si="12"/>
        <v>0</v>
      </c>
      <c r="N215" s="49" t="str">
        <f t="shared" si="13"/>
        <v>BE</v>
      </c>
      <c r="O215" s="49">
        <f t="shared" si="14"/>
        <v>10.01</v>
      </c>
    </row>
    <row r="216" spans="2:15" x14ac:dyDescent="0.2">
      <c r="B216" s="44"/>
      <c r="C216" s="45"/>
      <c r="D216" s="58"/>
      <c r="M216" s="49">
        <f t="shared" si="12"/>
        <v>0</v>
      </c>
      <c r="N216" s="49" t="str">
        <f t="shared" si="13"/>
        <v>BE</v>
      </c>
      <c r="O216" s="49">
        <f t="shared" si="14"/>
        <v>10.01</v>
      </c>
    </row>
    <row r="217" spans="2:15" x14ac:dyDescent="0.2">
      <c r="B217" s="44"/>
      <c r="C217" s="45"/>
      <c r="D217" s="58"/>
      <c r="M217" s="49">
        <f t="shared" si="12"/>
        <v>0</v>
      </c>
      <c r="N217" s="49" t="str">
        <f t="shared" si="13"/>
        <v>BE</v>
      </c>
      <c r="O217" s="49">
        <f t="shared" si="14"/>
        <v>10.01</v>
      </c>
    </row>
    <row r="218" spans="2:15" x14ac:dyDescent="0.2">
      <c r="B218" s="44"/>
      <c r="C218" s="45"/>
      <c r="D218" s="58"/>
      <c r="M218" s="49">
        <f t="shared" si="12"/>
        <v>0</v>
      </c>
      <c r="N218" s="49" t="str">
        <f t="shared" si="13"/>
        <v>BE</v>
      </c>
      <c r="O218" s="49">
        <f t="shared" si="14"/>
        <v>10.01</v>
      </c>
    </row>
    <row r="219" spans="2:15" x14ac:dyDescent="0.2">
      <c r="B219" s="44"/>
      <c r="C219" s="45"/>
      <c r="D219" s="58"/>
      <c r="M219" s="49">
        <f t="shared" si="12"/>
        <v>0</v>
      </c>
      <c r="N219" s="49" t="str">
        <f t="shared" si="13"/>
        <v>BE</v>
      </c>
      <c r="O219" s="49">
        <f t="shared" si="14"/>
        <v>10.01</v>
      </c>
    </row>
    <row r="220" spans="2:15" x14ac:dyDescent="0.2">
      <c r="B220" s="44"/>
      <c r="D220" s="58"/>
      <c r="M220" s="49">
        <f t="shared" si="12"/>
        <v>0</v>
      </c>
      <c r="N220" s="49" t="str">
        <f t="shared" si="13"/>
        <v>BE</v>
      </c>
      <c r="O220" s="49">
        <f t="shared" si="14"/>
        <v>10.01</v>
      </c>
    </row>
    <row r="221" spans="2:15" x14ac:dyDescent="0.2">
      <c r="B221" s="44"/>
      <c r="D221" s="58"/>
      <c r="M221" s="49">
        <f t="shared" si="12"/>
        <v>0</v>
      </c>
      <c r="N221" s="49" t="str">
        <f t="shared" si="13"/>
        <v>BE</v>
      </c>
      <c r="O221" s="49">
        <f t="shared" si="14"/>
        <v>10.01</v>
      </c>
    </row>
    <row r="222" spans="2:15" x14ac:dyDescent="0.2">
      <c r="B222" s="44"/>
      <c r="D222" s="58"/>
      <c r="M222" s="49">
        <f t="shared" si="12"/>
        <v>0</v>
      </c>
      <c r="N222" s="49" t="str">
        <f t="shared" si="13"/>
        <v>BE</v>
      </c>
      <c r="O222" s="49">
        <f t="shared" si="14"/>
        <v>10.01</v>
      </c>
    </row>
    <row r="223" spans="2:15" x14ac:dyDescent="0.2">
      <c r="B223" s="44"/>
      <c r="D223" s="58"/>
      <c r="M223" s="49">
        <f t="shared" si="12"/>
        <v>0</v>
      </c>
      <c r="N223" s="49" t="str">
        <f t="shared" si="13"/>
        <v>BE</v>
      </c>
      <c r="O223" s="49">
        <f t="shared" si="14"/>
        <v>10.01</v>
      </c>
    </row>
    <row r="224" spans="2:15" x14ac:dyDescent="0.2">
      <c r="B224" s="44"/>
      <c r="D224" s="58"/>
      <c r="M224" s="49">
        <f t="shared" si="12"/>
        <v>0</v>
      </c>
      <c r="N224" s="49" t="str">
        <f t="shared" si="13"/>
        <v>BE</v>
      </c>
      <c r="O224" s="49">
        <f t="shared" si="14"/>
        <v>10.01</v>
      </c>
    </row>
    <row r="225" spans="2:15" x14ac:dyDescent="0.2">
      <c r="B225" s="44"/>
      <c r="D225" s="58"/>
      <c r="M225" s="49">
        <f t="shared" si="12"/>
        <v>0</v>
      </c>
      <c r="N225" s="49" t="str">
        <f t="shared" si="13"/>
        <v>BE</v>
      </c>
      <c r="O225" s="49">
        <f t="shared" si="14"/>
        <v>10.01</v>
      </c>
    </row>
    <row r="226" spans="2:15" x14ac:dyDescent="0.2">
      <c r="B226" s="44"/>
      <c r="D226" s="58"/>
      <c r="M226" s="49">
        <f t="shared" si="12"/>
        <v>0</v>
      </c>
      <c r="N226" s="49" t="str">
        <f t="shared" si="13"/>
        <v>BE</v>
      </c>
      <c r="O226" s="49">
        <f t="shared" si="14"/>
        <v>10.01</v>
      </c>
    </row>
    <row r="227" spans="2:15" x14ac:dyDescent="0.2">
      <c r="B227" s="44"/>
      <c r="D227" s="58"/>
      <c r="M227" s="49">
        <f t="shared" si="12"/>
        <v>0</v>
      </c>
      <c r="N227" s="49" t="str">
        <f t="shared" si="13"/>
        <v>BE</v>
      </c>
      <c r="O227" s="49">
        <f t="shared" si="14"/>
        <v>10.01</v>
      </c>
    </row>
    <row r="228" spans="2:15" x14ac:dyDescent="0.2">
      <c r="B228" s="44"/>
      <c r="D228" s="58"/>
      <c r="M228" s="49">
        <f t="shared" si="12"/>
        <v>0</v>
      </c>
      <c r="N228" s="49" t="str">
        <f t="shared" si="13"/>
        <v>BE</v>
      </c>
      <c r="O228" s="49">
        <f t="shared" si="14"/>
        <v>10.01</v>
      </c>
    </row>
    <row r="229" spans="2:15" x14ac:dyDescent="0.2">
      <c r="B229" s="44"/>
      <c r="D229" s="58"/>
      <c r="M229" s="49">
        <f t="shared" si="12"/>
        <v>0</v>
      </c>
      <c r="N229" s="49" t="str">
        <f t="shared" si="13"/>
        <v>BE</v>
      </c>
      <c r="O229" s="49">
        <f t="shared" si="14"/>
        <v>10.01</v>
      </c>
    </row>
    <row r="230" spans="2:15" x14ac:dyDescent="0.2">
      <c r="B230" s="44"/>
      <c r="D230" s="58"/>
      <c r="M230" s="49">
        <f t="shared" si="12"/>
        <v>0</v>
      </c>
      <c r="N230" s="49" t="str">
        <f t="shared" si="13"/>
        <v>BE</v>
      </c>
      <c r="O230" s="49">
        <f t="shared" si="14"/>
        <v>10.01</v>
      </c>
    </row>
    <row r="231" spans="2:15" x14ac:dyDescent="0.2">
      <c r="B231" s="44"/>
      <c r="D231" s="58"/>
      <c r="M231" s="49">
        <f t="shared" si="12"/>
        <v>0</v>
      </c>
      <c r="N231" s="49" t="str">
        <f t="shared" si="13"/>
        <v>BE</v>
      </c>
      <c r="O231" s="49">
        <f t="shared" si="14"/>
        <v>10.01</v>
      </c>
    </row>
    <row r="232" spans="2:15" x14ac:dyDescent="0.2">
      <c r="B232" s="44"/>
      <c r="D232" s="58"/>
      <c r="M232" s="49">
        <f t="shared" si="12"/>
        <v>0</v>
      </c>
      <c r="N232" s="49" t="str">
        <f t="shared" si="13"/>
        <v>BE</v>
      </c>
      <c r="O232" s="49">
        <f t="shared" si="14"/>
        <v>10.01</v>
      </c>
    </row>
    <row r="233" spans="2:15" x14ac:dyDescent="0.2">
      <c r="B233" s="44"/>
      <c r="D233" s="58"/>
      <c r="M233" s="49">
        <f t="shared" si="12"/>
        <v>0</v>
      </c>
      <c r="N233" s="49" t="str">
        <f t="shared" si="13"/>
        <v>BE</v>
      </c>
      <c r="O233" s="49">
        <f t="shared" si="14"/>
        <v>10.01</v>
      </c>
    </row>
    <row r="234" spans="2:15" x14ac:dyDescent="0.2">
      <c r="B234" s="44"/>
      <c r="D234" s="58"/>
      <c r="M234" s="49">
        <f t="shared" si="12"/>
        <v>0</v>
      </c>
      <c r="N234" s="49" t="str">
        <f t="shared" si="13"/>
        <v>BE</v>
      </c>
      <c r="O234" s="49">
        <f t="shared" si="14"/>
        <v>10.01</v>
      </c>
    </row>
    <row r="235" spans="2:15" x14ac:dyDescent="0.2">
      <c r="B235" s="44"/>
      <c r="D235" s="58"/>
      <c r="M235" s="49">
        <f t="shared" si="12"/>
        <v>0</v>
      </c>
      <c r="N235" s="49" t="str">
        <f t="shared" si="13"/>
        <v>BE</v>
      </c>
      <c r="O235" s="49">
        <f t="shared" si="14"/>
        <v>10.01</v>
      </c>
    </row>
    <row r="236" spans="2:15" x14ac:dyDescent="0.2">
      <c r="B236" s="44"/>
      <c r="D236" s="58"/>
      <c r="M236" s="49">
        <f t="shared" si="12"/>
        <v>0</v>
      </c>
      <c r="N236" s="49" t="str">
        <f t="shared" si="13"/>
        <v>BE</v>
      </c>
      <c r="O236" s="49">
        <f t="shared" si="14"/>
        <v>10.01</v>
      </c>
    </row>
    <row r="237" spans="2:15" x14ac:dyDescent="0.2">
      <c r="B237" s="44"/>
      <c r="D237" s="58"/>
      <c r="M237" s="49">
        <f t="shared" si="12"/>
        <v>0</v>
      </c>
      <c r="N237" s="49" t="str">
        <f t="shared" si="13"/>
        <v>BE</v>
      </c>
      <c r="O237" s="49">
        <f t="shared" si="14"/>
        <v>10.01</v>
      </c>
    </row>
    <row r="238" spans="2:15" x14ac:dyDescent="0.2">
      <c r="B238" s="44"/>
      <c r="D238" s="58"/>
      <c r="M238" s="49">
        <f t="shared" si="12"/>
        <v>0</v>
      </c>
      <c r="N238" s="49" t="str">
        <f t="shared" si="13"/>
        <v>BE</v>
      </c>
      <c r="O238" s="49">
        <f t="shared" si="14"/>
        <v>10.01</v>
      </c>
    </row>
    <row r="239" spans="2:15" x14ac:dyDescent="0.2">
      <c r="B239" s="44"/>
      <c r="D239" s="58"/>
      <c r="M239" s="49">
        <f t="shared" si="12"/>
        <v>0</v>
      </c>
      <c r="N239" s="49" t="str">
        <f t="shared" si="13"/>
        <v>BE</v>
      </c>
      <c r="O239" s="49">
        <f t="shared" si="14"/>
        <v>10.01</v>
      </c>
    </row>
    <row r="240" spans="2:15" x14ac:dyDescent="0.2">
      <c r="B240" s="44"/>
      <c r="D240" s="58"/>
      <c r="M240" s="49">
        <f t="shared" si="12"/>
        <v>0</v>
      </c>
      <c r="N240" s="49" t="str">
        <f t="shared" si="13"/>
        <v>BE</v>
      </c>
      <c r="O240" s="49">
        <f t="shared" si="14"/>
        <v>10.01</v>
      </c>
    </row>
    <row r="241" spans="2:15" x14ac:dyDescent="0.2">
      <c r="B241" s="44"/>
      <c r="D241" s="58"/>
      <c r="M241" s="49">
        <f t="shared" si="12"/>
        <v>0</v>
      </c>
      <c r="N241" s="49" t="str">
        <f t="shared" si="13"/>
        <v>BE</v>
      </c>
      <c r="O241" s="49">
        <f t="shared" si="14"/>
        <v>10.01</v>
      </c>
    </row>
    <row r="242" spans="2:15" x14ac:dyDescent="0.2">
      <c r="B242" s="44"/>
      <c r="D242" s="58"/>
      <c r="M242" s="49">
        <f t="shared" si="12"/>
        <v>0</v>
      </c>
      <c r="N242" s="49" t="str">
        <f t="shared" si="13"/>
        <v>BE</v>
      </c>
      <c r="O242" s="49">
        <f t="shared" si="14"/>
        <v>10.01</v>
      </c>
    </row>
    <row r="243" spans="2:15" x14ac:dyDescent="0.2">
      <c r="B243" s="44"/>
      <c r="D243" s="58"/>
      <c r="M243" s="49">
        <f t="shared" si="12"/>
        <v>0</v>
      </c>
      <c r="N243" s="49" t="str">
        <f t="shared" si="13"/>
        <v>BE</v>
      </c>
      <c r="O243" s="49">
        <f t="shared" si="14"/>
        <v>10.01</v>
      </c>
    </row>
    <row r="244" spans="2:15" x14ac:dyDescent="0.2">
      <c r="B244" s="44"/>
      <c r="D244" s="58"/>
      <c r="M244" s="49">
        <f t="shared" si="12"/>
        <v>0</v>
      </c>
      <c r="N244" s="49" t="str">
        <f t="shared" si="13"/>
        <v>BE</v>
      </c>
      <c r="O244" s="49">
        <f t="shared" si="14"/>
        <v>10.01</v>
      </c>
    </row>
    <row r="245" spans="2:15" x14ac:dyDescent="0.2">
      <c r="B245" s="44"/>
      <c r="D245" s="58"/>
      <c r="M245" s="49">
        <f t="shared" si="12"/>
        <v>0</v>
      </c>
      <c r="N245" s="49" t="str">
        <f t="shared" si="13"/>
        <v>BE</v>
      </c>
      <c r="O245" s="49">
        <f t="shared" si="14"/>
        <v>10.01</v>
      </c>
    </row>
    <row r="246" spans="2:15" x14ac:dyDescent="0.2">
      <c r="B246" s="44"/>
      <c r="D246" s="58"/>
      <c r="M246" s="49">
        <f t="shared" si="12"/>
        <v>0</v>
      </c>
      <c r="N246" s="49" t="str">
        <f t="shared" si="13"/>
        <v>BE</v>
      </c>
      <c r="O246" s="49">
        <f t="shared" si="14"/>
        <v>10.01</v>
      </c>
    </row>
    <row r="247" spans="2:15" x14ac:dyDescent="0.2">
      <c r="B247" s="44"/>
      <c r="D247" s="58"/>
      <c r="M247" s="49">
        <f t="shared" si="12"/>
        <v>0</v>
      </c>
      <c r="N247" s="49" t="str">
        <f t="shared" si="13"/>
        <v>BE</v>
      </c>
      <c r="O247" s="49">
        <f t="shared" si="14"/>
        <v>10.01</v>
      </c>
    </row>
    <row r="248" spans="2:15" x14ac:dyDescent="0.2">
      <c r="B248" s="44"/>
      <c r="D248" s="58"/>
      <c r="M248" s="49">
        <f t="shared" si="12"/>
        <v>0</v>
      </c>
      <c r="N248" s="49" t="str">
        <f t="shared" si="13"/>
        <v>BE</v>
      </c>
      <c r="O248" s="49">
        <f t="shared" si="14"/>
        <v>10.01</v>
      </c>
    </row>
    <row r="249" spans="2:15" x14ac:dyDescent="0.2">
      <c r="B249" s="44"/>
      <c r="D249" s="58"/>
      <c r="M249" s="49">
        <f t="shared" si="12"/>
        <v>0</v>
      </c>
      <c r="N249" s="49" t="str">
        <f t="shared" si="13"/>
        <v>BE</v>
      </c>
      <c r="O249" s="49">
        <f t="shared" si="14"/>
        <v>10.01</v>
      </c>
    </row>
    <row r="250" spans="2:15" x14ac:dyDescent="0.2">
      <c r="B250" s="44"/>
      <c r="D250" s="58"/>
      <c r="M250" s="49">
        <f t="shared" si="12"/>
        <v>0</v>
      </c>
      <c r="N250" s="49" t="str">
        <f t="shared" si="13"/>
        <v>BE</v>
      </c>
      <c r="O250" s="49">
        <f t="shared" si="14"/>
        <v>10.01</v>
      </c>
    </row>
    <row r="251" spans="2:15" x14ac:dyDescent="0.2">
      <c r="B251" s="44"/>
      <c r="D251" s="58"/>
      <c r="M251" s="49">
        <f t="shared" si="12"/>
        <v>0</v>
      </c>
      <c r="N251" s="49" t="str">
        <f t="shared" si="13"/>
        <v>BE</v>
      </c>
      <c r="O251" s="49">
        <f t="shared" si="14"/>
        <v>10.01</v>
      </c>
    </row>
    <row r="252" spans="2:15" x14ac:dyDescent="0.2">
      <c r="B252" s="44"/>
      <c r="D252" s="58"/>
      <c r="M252" s="49">
        <f t="shared" si="12"/>
        <v>0</v>
      </c>
      <c r="N252" s="49" t="str">
        <f t="shared" si="13"/>
        <v>BE</v>
      </c>
      <c r="O252" s="49">
        <f t="shared" si="14"/>
        <v>10.01</v>
      </c>
    </row>
    <row r="253" spans="2:15" x14ac:dyDescent="0.2">
      <c r="B253" s="44"/>
      <c r="D253" s="58"/>
      <c r="M253" s="49">
        <f t="shared" si="12"/>
        <v>0</v>
      </c>
      <c r="N253" s="49" t="str">
        <f t="shared" si="13"/>
        <v>BE</v>
      </c>
      <c r="O253" s="49">
        <f t="shared" si="14"/>
        <v>10.01</v>
      </c>
    </row>
    <row r="254" spans="2:15" x14ac:dyDescent="0.2">
      <c r="B254" s="44"/>
      <c r="D254" s="58"/>
      <c r="M254" s="49">
        <f t="shared" si="12"/>
        <v>0</v>
      </c>
      <c r="N254" s="49" t="str">
        <f t="shared" si="13"/>
        <v>BE</v>
      </c>
      <c r="O254" s="49">
        <f t="shared" si="14"/>
        <v>10.01</v>
      </c>
    </row>
    <row r="255" spans="2:15" x14ac:dyDescent="0.2">
      <c r="B255" s="44"/>
      <c r="D255" s="58"/>
      <c r="M255" s="49">
        <f t="shared" si="12"/>
        <v>0</v>
      </c>
      <c r="N255" s="49" t="str">
        <f t="shared" si="13"/>
        <v>BE</v>
      </c>
      <c r="O255" s="49">
        <f t="shared" si="14"/>
        <v>10.01</v>
      </c>
    </row>
    <row r="256" spans="2:15" x14ac:dyDescent="0.2">
      <c r="B256" s="44"/>
      <c r="D256" s="58"/>
      <c r="M256" s="49">
        <f t="shared" si="12"/>
        <v>0</v>
      </c>
      <c r="N256" s="49" t="str">
        <f t="shared" si="13"/>
        <v>BE</v>
      </c>
      <c r="O256" s="49">
        <f t="shared" si="14"/>
        <v>10.01</v>
      </c>
    </row>
    <row r="257" spans="2:18" x14ac:dyDescent="0.2">
      <c r="B257" s="44"/>
      <c r="D257" s="58"/>
      <c r="M257" s="49">
        <f t="shared" si="12"/>
        <v>0</v>
      </c>
      <c r="N257" s="49" t="str">
        <f t="shared" si="13"/>
        <v>BE</v>
      </c>
      <c r="O257" s="49">
        <f t="shared" si="14"/>
        <v>10.01</v>
      </c>
    </row>
    <row r="258" spans="2:18" x14ac:dyDescent="0.2">
      <c r="B258" s="44"/>
      <c r="D258" s="58"/>
      <c r="M258" s="49">
        <f t="shared" si="12"/>
        <v>0</v>
      </c>
      <c r="N258" s="49" t="str">
        <f t="shared" si="13"/>
        <v>BE</v>
      </c>
      <c r="O258" s="49">
        <f t="shared" si="14"/>
        <v>10.01</v>
      </c>
    </row>
    <row r="259" spans="2:18" x14ac:dyDescent="0.2">
      <c r="B259" s="44"/>
      <c r="D259" s="58"/>
      <c r="M259" s="49">
        <f t="shared" ref="M259:M322" si="15">IF(ISBLANK(L259),IF(H259="Long",(K259-J259)*G259,(J259-K259)*G259),IF(H259="Long",(K259-J259)*(G259/2)+(L259-J259)*(G259/2),(J259-K259)*(G259/2)+(J259-L259)*(G259/2)))</f>
        <v>0</v>
      </c>
      <c r="N259" s="49" t="str">
        <f t="shared" ref="N259:N322" si="16">_xlfn.IFS(M259&gt;0,"win",M259&lt;0,"lose",M259=0,"BE")</f>
        <v>BE</v>
      </c>
      <c r="O259" s="49">
        <f t="shared" si="14"/>
        <v>10.01</v>
      </c>
    </row>
    <row r="260" spans="2:18" x14ac:dyDescent="0.2">
      <c r="B260" s="44"/>
      <c r="D260" s="58"/>
      <c r="M260" s="49">
        <f t="shared" si="15"/>
        <v>0</v>
      </c>
      <c r="N260" s="49" t="str">
        <f t="shared" si="16"/>
        <v>BE</v>
      </c>
      <c r="O260" s="49">
        <f t="shared" si="14"/>
        <v>10.01</v>
      </c>
      <c r="R260" s="86"/>
    </row>
    <row r="261" spans="2:18" x14ac:dyDescent="0.2">
      <c r="B261" s="44"/>
      <c r="D261" s="58"/>
      <c r="M261" s="49">
        <f t="shared" si="15"/>
        <v>0</v>
      </c>
      <c r="N261" s="49" t="str">
        <f t="shared" si="16"/>
        <v>BE</v>
      </c>
      <c r="O261" s="49">
        <f t="shared" si="14"/>
        <v>10.01</v>
      </c>
    </row>
    <row r="262" spans="2:18" x14ac:dyDescent="0.2">
      <c r="B262" s="44"/>
      <c r="D262" s="58"/>
      <c r="M262" s="49">
        <f t="shared" si="15"/>
        <v>0</v>
      </c>
      <c r="N262" s="49" t="str">
        <f t="shared" si="16"/>
        <v>BE</v>
      </c>
      <c r="O262" s="49">
        <f t="shared" si="14"/>
        <v>10.01</v>
      </c>
    </row>
    <row r="263" spans="2:18" x14ac:dyDescent="0.2">
      <c r="B263" s="44"/>
      <c r="D263" s="58"/>
      <c r="M263" s="49">
        <f t="shared" si="15"/>
        <v>0</v>
      </c>
      <c r="N263" s="49" t="str">
        <f t="shared" si="16"/>
        <v>BE</v>
      </c>
      <c r="O263" s="49">
        <f t="shared" si="14"/>
        <v>10.01</v>
      </c>
    </row>
    <row r="264" spans="2:18" x14ac:dyDescent="0.2">
      <c r="B264" s="44"/>
      <c r="D264" s="58"/>
      <c r="M264" s="49">
        <f t="shared" si="15"/>
        <v>0</v>
      </c>
      <c r="N264" s="49" t="str">
        <f t="shared" si="16"/>
        <v>BE</v>
      </c>
      <c r="O264" s="49">
        <f t="shared" ref="O264:O327" si="17">M264+O263</f>
        <v>10.01</v>
      </c>
    </row>
    <row r="265" spans="2:18" x14ac:dyDescent="0.2">
      <c r="B265" s="44"/>
      <c r="D265" s="58"/>
      <c r="M265" s="49">
        <f t="shared" si="15"/>
        <v>0</v>
      </c>
      <c r="N265" s="49" t="str">
        <f t="shared" si="16"/>
        <v>BE</v>
      </c>
      <c r="O265" s="49">
        <f t="shared" si="17"/>
        <v>10.01</v>
      </c>
    </row>
    <row r="266" spans="2:18" x14ac:dyDescent="0.2">
      <c r="B266" s="44"/>
      <c r="D266" s="58"/>
      <c r="M266" s="49">
        <f t="shared" si="15"/>
        <v>0</v>
      </c>
      <c r="N266" s="49" t="str">
        <f t="shared" si="16"/>
        <v>BE</v>
      </c>
      <c r="O266" s="49">
        <f t="shared" si="17"/>
        <v>10.01</v>
      </c>
    </row>
    <row r="267" spans="2:18" x14ac:dyDescent="0.2">
      <c r="B267" s="44"/>
      <c r="D267" s="58"/>
      <c r="M267" s="49">
        <f t="shared" si="15"/>
        <v>0</v>
      </c>
      <c r="N267" s="49" t="str">
        <f t="shared" si="16"/>
        <v>BE</v>
      </c>
      <c r="O267" s="49">
        <f t="shared" si="17"/>
        <v>10.01</v>
      </c>
    </row>
    <row r="268" spans="2:18" x14ac:dyDescent="0.2">
      <c r="B268" s="44"/>
      <c r="D268" s="58"/>
      <c r="M268" s="49">
        <f t="shared" si="15"/>
        <v>0</v>
      </c>
      <c r="N268" s="49" t="str">
        <f t="shared" si="16"/>
        <v>BE</v>
      </c>
      <c r="O268" s="49">
        <f t="shared" si="17"/>
        <v>10.01</v>
      </c>
    </row>
    <row r="269" spans="2:18" x14ac:dyDescent="0.2">
      <c r="B269" s="44"/>
      <c r="D269" s="58"/>
      <c r="M269" s="49">
        <f t="shared" si="15"/>
        <v>0</v>
      </c>
      <c r="N269" s="49" t="str">
        <f t="shared" si="16"/>
        <v>BE</v>
      </c>
      <c r="O269" s="49">
        <f t="shared" si="17"/>
        <v>10.01</v>
      </c>
    </row>
    <row r="270" spans="2:18" x14ac:dyDescent="0.2">
      <c r="B270" s="44"/>
      <c r="D270" s="58"/>
      <c r="M270" s="49">
        <f t="shared" si="15"/>
        <v>0</v>
      </c>
      <c r="N270" s="49" t="str">
        <f t="shared" si="16"/>
        <v>BE</v>
      </c>
      <c r="O270" s="49">
        <f t="shared" si="17"/>
        <v>10.01</v>
      </c>
    </row>
    <row r="271" spans="2:18" x14ac:dyDescent="0.2">
      <c r="B271" s="44"/>
      <c r="D271" s="58"/>
      <c r="M271" s="49">
        <f t="shared" si="15"/>
        <v>0</v>
      </c>
      <c r="N271" s="49" t="str">
        <f t="shared" si="16"/>
        <v>BE</v>
      </c>
      <c r="O271" s="49">
        <f t="shared" si="17"/>
        <v>10.01</v>
      </c>
    </row>
    <row r="272" spans="2:18" x14ac:dyDescent="0.2">
      <c r="B272" s="44"/>
      <c r="D272" s="58"/>
      <c r="M272" s="49">
        <f t="shared" si="15"/>
        <v>0</v>
      </c>
      <c r="N272" s="49" t="str">
        <f t="shared" si="16"/>
        <v>BE</v>
      </c>
      <c r="O272" s="49">
        <f t="shared" si="17"/>
        <v>10.01</v>
      </c>
    </row>
    <row r="273" spans="2:15" x14ac:dyDescent="0.2">
      <c r="B273" s="44"/>
      <c r="D273" s="58"/>
      <c r="M273" s="49">
        <f t="shared" si="15"/>
        <v>0</v>
      </c>
      <c r="N273" s="49" t="str">
        <f t="shared" si="16"/>
        <v>BE</v>
      </c>
      <c r="O273" s="49">
        <f t="shared" si="17"/>
        <v>10.01</v>
      </c>
    </row>
    <row r="274" spans="2:15" x14ac:dyDescent="0.2">
      <c r="B274" s="44"/>
      <c r="D274" s="58"/>
      <c r="M274" s="49">
        <f t="shared" si="15"/>
        <v>0</v>
      </c>
      <c r="N274" s="49" t="str">
        <f t="shared" si="16"/>
        <v>BE</v>
      </c>
      <c r="O274" s="49">
        <f t="shared" si="17"/>
        <v>10.01</v>
      </c>
    </row>
    <row r="275" spans="2:15" x14ac:dyDescent="0.2">
      <c r="B275" s="44"/>
      <c r="D275" s="58"/>
      <c r="M275" s="49">
        <f t="shared" si="15"/>
        <v>0</v>
      </c>
      <c r="N275" s="49" t="str">
        <f t="shared" si="16"/>
        <v>BE</v>
      </c>
      <c r="O275" s="49">
        <f t="shared" si="17"/>
        <v>10.01</v>
      </c>
    </row>
    <row r="276" spans="2:15" x14ac:dyDescent="0.2">
      <c r="B276" s="44"/>
      <c r="D276" s="58"/>
      <c r="M276" s="49">
        <f t="shared" si="15"/>
        <v>0</v>
      </c>
      <c r="N276" s="49" t="str">
        <f t="shared" si="16"/>
        <v>BE</v>
      </c>
      <c r="O276" s="49">
        <f t="shared" si="17"/>
        <v>10.01</v>
      </c>
    </row>
    <row r="277" spans="2:15" x14ac:dyDescent="0.2">
      <c r="B277" s="44"/>
      <c r="D277" s="58"/>
      <c r="M277" s="49">
        <f t="shared" si="15"/>
        <v>0</v>
      </c>
      <c r="N277" s="49" t="str">
        <f t="shared" si="16"/>
        <v>BE</v>
      </c>
      <c r="O277" s="49">
        <f t="shared" si="17"/>
        <v>10.01</v>
      </c>
    </row>
    <row r="278" spans="2:15" x14ac:dyDescent="0.2">
      <c r="B278" s="44"/>
      <c r="D278" s="58"/>
      <c r="M278" s="49">
        <f t="shared" si="15"/>
        <v>0</v>
      </c>
      <c r="N278" s="49" t="str">
        <f t="shared" si="16"/>
        <v>BE</v>
      </c>
      <c r="O278" s="49">
        <f t="shared" si="17"/>
        <v>10.01</v>
      </c>
    </row>
    <row r="279" spans="2:15" x14ac:dyDescent="0.2">
      <c r="B279" s="44"/>
      <c r="D279" s="58"/>
      <c r="M279" s="49">
        <f t="shared" si="15"/>
        <v>0</v>
      </c>
      <c r="N279" s="49" t="str">
        <f t="shared" si="16"/>
        <v>BE</v>
      </c>
      <c r="O279" s="49">
        <f t="shared" si="17"/>
        <v>10.01</v>
      </c>
    </row>
    <row r="280" spans="2:15" x14ac:dyDescent="0.2">
      <c r="B280" s="44"/>
      <c r="D280" s="58"/>
      <c r="M280" s="49">
        <f t="shared" si="15"/>
        <v>0</v>
      </c>
      <c r="N280" s="49" t="str">
        <f t="shared" si="16"/>
        <v>BE</v>
      </c>
      <c r="O280" s="49">
        <f t="shared" si="17"/>
        <v>10.01</v>
      </c>
    </row>
    <row r="281" spans="2:15" x14ac:dyDescent="0.2">
      <c r="B281" s="44"/>
      <c r="D281" s="58"/>
      <c r="M281" s="49">
        <f t="shared" si="15"/>
        <v>0</v>
      </c>
      <c r="N281" s="49" t="str">
        <f t="shared" si="16"/>
        <v>BE</v>
      </c>
      <c r="O281" s="49">
        <f t="shared" si="17"/>
        <v>10.01</v>
      </c>
    </row>
    <row r="282" spans="2:15" x14ac:dyDescent="0.2">
      <c r="B282" s="44"/>
      <c r="D282" s="58"/>
      <c r="M282" s="49">
        <f t="shared" si="15"/>
        <v>0</v>
      </c>
      <c r="N282" s="49" t="str">
        <f t="shared" si="16"/>
        <v>BE</v>
      </c>
      <c r="O282" s="49">
        <f t="shared" si="17"/>
        <v>10.01</v>
      </c>
    </row>
    <row r="283" spans="2:15" x14ac:dyDescent="0.2">
      <c r="B283" s="44"/>
      <c r="D283" s="58"/>
      <c r="M283" s="49">
        <f t="shared" si="15"/>
        <v>0</v>
      </c>
      <c r="N283" s="49" t="str">
        <f t="shared" si="16"/>
        <v>BE</v>
      </c>
      <c r="O283" s="49">
        <f t="shared" si="17"/>
        <v>10.01</v>
      </c>
    </row>
    <row r="284" spans="2:15" x14ac:dyDescent="0.2">
      <c r="B284" s="44"/>
      <c r="D284" s="58"/>
      <c r="M284" s="49">
        <f t="shared" si="15"/>
        <v>0</v>
      </c>
      <c r="N284" s="49" t="str">
        <f t="shared" si="16"/>
        <v>BE</v>
      </c>
      <c r="O284" s="49">
        <f t="shared" si="17"/>
        <v>10.01</v>
      </c>
    </row>
    <row r="285" spans="2:15" x14ac:dyDescent="0.2">
      <c r="B285" s="44"/>
      <c r="D285" s="58"/>
      <c r="M285" s="49">
        <f t="shared" si="15"/>
        <v>0</v>
      </c>
      <c r="N285" s="49" t="str">
        <f t="shared" si="16"/>
        <v>BE</v>
      </c>
      <c r="O285" s="49">
        <f t="shared" si="17"/>
        <v>10.01</v>
      </c>
    </row>
    <row r="286" spans="2:15" x14ac:dyDescent="0.2">
      <c r="B286" s="44"/>
      <c r="D286" s="58"/>
      <c r="M286" s="49">
        <f t="shared" si="15"/>
        <v>0</v>
      </c>
      <c r="N286" s="49" t="str">
        <f t="shared" si="16"/>
        <v>BE</v>
      </c>
      <c r="O286" s="49">
        <f t="shared" si="17"/>
        <v>10.01</v>
      </c>
    </row>
    <row r="287" spans="2:15" x14ac:dyDescent="0.2">
      <c r="B287" s="44"/>
      <c r="D287" s="58"/>
      <c r="M287" s="49">
        <f t="shared" si="15"/>
        <v>0</v>
      </c>
      <c r="N287" s="49" t="str">
        <f t="shared" si="16"/>
        <v>BE</v>
      </c>
      <c r="O287" s="49">
        <f t="shared" si="17"/>
        <v>10.01</v>
      </c>
    </row>
    <row r="288" spans="2:15" x14ac:dyDescent="0.2">
      <c r="B288" s="44"/>
      <c r="D288" s="58"/>
      <c r="M288" s="49">
        <f t="shared" si="15"/>
        <v>0</v>
      </c>
      <c r="N288" s="49" t="str">
        <f t="shared" si="16"/>
        <v>BE</v>
      </c>
      <c r="O288" s="49">
        <f t="shared" si="17"/>
        <v>10.01</v>
      </c>
    </row>
    <row r="289" spans="2:15" x14ac:dyDescent="0.2">
      <c r="B289" s="44"/>
      <c r="D289" s="58"/>
      <c r="M289" s="49">
        <f t="shared" si="15"/>
        <v>0</v>
      </c>
      <c r="N289" s="49" t="str">
        <f t="shared" si="16"/>
        <v>BE</v>
      </c>
      <c r="O289" s="49">
        <f t="shared" si="17"/>
        <v>10.01</v>
      </c>
    </row>
    <row r="290" spans="2:15" x14ac:dyDescent="0.2">
      <c r="B290" s="44"/>
      <c r="D290" s="58"/>
      <c r="M290" s="49">
        <f t="shared" si="15"/>
        <v>0</v>
      </c>
      <c r="N290" s="49" t="str">
        <f t="shared" si="16"/>
        <v>BE</v>
      </c>
      <c r="O290" s="49">
        <f t="shared" si="17"/>
        <v>10.01</v>
      </c>
    </row>
    <row r="291" spans="2:15" x14ac:dyDescent="0.2">
      <c r="B291" s="44"/>
      <c r="D291" s="58"/>
      <c r="M291" s="49">
        <f t="shared" si="15"/>
        <v>0</v>
      </c>
      <c r="N291" s="49" t="str">
        <f t="shared" si="16"/>
        <v>BE</v>
      </c>
      <c r="O291" s="49">
        <f t="shared" si="17"/>
        <v>10.01</v>
      </c>
    </row>
    <row r="292" spans="2:15" x14ac:dyDescent="0.2">
      <c r="B292" s="44"/>
      <c r="D292" s="58"/>
      <c r="M292" s="49">
        <f t="shared" si="15"/>
        <v>0</v>
      </c>
      <c r="N292" s="49" t="str">
        <f t="shared" si="16"/>
        <v>BE</v>
      </c>
      <c r="O292" s="49">
        <f t="shared" si="17"/>
        <v>10.01</v>
      </c>
    </row>
    <row r="293" spans="2:15" x14ac:dyDescent="0.2">
      <c r="B293" s="44"/>
      <c r="D293" s="58"/>
      <c r="M293" s="49">
        <f t="shared" si="15"/>
        <v>0</v>
      </c>
      <c r="N293" s="49" t="str">
        <f t="shared" si="16"/>
        <v>BE</v>
      </c>
      <c r="O293" s="49">
        <f t="shared" si="17"/>
        <v>10.01</v>
      </c>
    </row>
    <row r="294" spans="2:15" x14ac:dyDescent="0.2">
      <c r="B294" s="44"/>
      <c r="D294" s="58"/>
      <c r="M294" s="49">
        <f t="shared" si="15"/>
        <v>0</v>
      </c>
      <c r="N294" s="49" t="str">
        <f t="shared" si="16"/>
        <v>BE</v>
      </c>
      <c r="O294" s="49">
        <f t="shared" si="17"/>
        <v>10.01</v>
      </c>
    </row>
    <row r="295" spans="2:15" x14ac:dyDescent="0.2">
      <c r="B295" s="44"/>
      <c r="D295" s="58"/>
      <c r="M295" s="49">
        <f t="shared" si="15"/>
        <v>0</v>
      </c>
      <c r="N295" s="49" t="str">
        <f t="shared" si="16"/>
        <v>BE</v>
      </c>
      <c r="O295" s="49">
        <f t="shared" si="17"/>
        <v>10.01</v>
      </c>
    </row>
    <row r="296" spans="2:15" x14ac:dyDescent="0.2">
      <c r="B296" s="44"/>
      <c r="D296" s="58"/>
      <c r="M296" s="49">
        <f t="shared" si="15"/>
        <v>0</v>
      </c>
      <c r="N296" s="49" t="str">
        <f t="shared" si="16"/>
        <v>BE</v>
      </c>
      <c r="O296" s="49">
        <f t="shared" si="17"/>
        <v>10.01</v>
      </c>
    </row>
    <row r="297" spans="2:15" x14ac:dyDescent="0.2">
      <c r="B297" s="44"/>
      <c r="D297" s="58"/>
      <c r="M297" s="49">
        <f t="shared" si="15"/>
        <v>0</v>
      </c>
      <c r="N297" s="49" t="str">
        <f t="shared" si="16"/>
        <v>BE</v>
      </c>
      <c r="O297" s="49">
        <f t="shared" si="17"/>
        <v>10.01</v>
      </c>
    </row>
    <row r="298" spans="2:15" x14ac:dyDescent="0.2">
      <c r="B298" s="44"/>
      <c r="D298" s="58"/>
      <c r="M298" s="49">
        <f t="shared" si="15"/>
        <v>0</v>
      </c>
      <c r="N298" s="49" t="str">
        <f t="shared" si="16"/>
        <v>BE</v>
      </c>
      <c r="O298" s="49">
        <f t="shared" si="17"/>
        <v>10.01</v>
      </c>
    </row>
    <row r="299" spans="2:15" x14ac:dyDescent="0.2">
      <c r="B299" s="44"/>
      <c r="D299" s="58"/>
      <c r="M299" s="49">
        <f t="shared" si="15"/>
        <v>0</v>
      </c>
      <c r="N299" s="49" t="str">
        <f t="shared" si="16"/>
        <v>BE</v>
      </c>
      <c r="O299" s="49">
        <f t="shared" si="17"/>
        <v>10.01</v>
      </c>
    </row>
    <row r="300" spans="2:15" x14ac:dyDescent="0.2">
      <c r="B300" s="44"/>
      <c r="D300" s="58"/>
      <c r="M300" s="49">
        <f t="shared" si="15"/>
        <v>0</v>
      </c>
      <c r="N300" s="49" t="str">
        <f t="shared" si="16"/>
        <v>BE</v>
      </c>
      <c r="O300" s="49">
        <f t="shared" si="17"/>
        <v>10.01</v>
      </c>
    </row>
    <row r="301" spans="2:15" x14ac:dyDescent="0.2">
      <c r="B301" s="44"/>
      <c r="D301" s="58"/>
      <c r="M301" s="49">
        <f t="shared" si="15"/>
        <v>0</v>
      </c>
      <c r="N301" s="49" t="str">
        <f t="shared" si="16"/>
        <v>BE</v>
      </c>
      <c r="O301" s="49">
        <f t="shared" si="17"/>
        <v>10.01</v>
      </c>
    </row>
    <row r="302" spans="2:15" x14ac:dyDescent="0.2">
      <c r="B302" s="44"/>
      <c r="D302" s="58"/>
      <c r="M302" s="49">
        <f t="shared" si="15"/>
        <v>0</v>
      </c>
      <c r="N302" s="49" t="str">
        <f t="shared" si="16"/>
        <v>BE</v>
      </c>
      <c r="O302" s="49">
        <f t="shared" si="17"/>
        <v>10.01</v>
      </c>
    </row>
    <row r="303" spans="2:15" x14ac:dyDescent="0.2">
      <c r="B303" s="44"/>
      <c r="D303" s="58"/>
      <c r="M303" s="49">
        <f t="shared" si="15"/>
        <v>0</v>
      </c>
      <c r="N303" s="49" t="str">
        <f t="shared" si="16"/>
        <v>BE</v>
      </c>
      <c r="O303" s="49">
        <f t="shared" si="17"/>
        <v>10.01</v>
      </c>
    </row>
    <row r="304" spans="2:15" x14ac:dyDescent="0.2">
      <c r="B304" s="44"/>
      <c r="D304" s="58"/>
      <c r="M304" s="49">
        <f t="shared" si="15"/>
        <v>0</v>
      </c>
      <c r="N304" s="49" t="str">
        <f t="shared" si="16"/>
        <v>BE</v>
      </c>
      <c r="O304" s="49">
        <f t="shared" si="17"/>
        <v>10.01</v>
      </c>
    </row>
    <row r="305" spans="2:15" x14ac:dyDescent="0.2">
      <c r="B305" s="44"/>
      <c r="D305" s="58"/>
      <c r="M305" s="49">
        <f t="shared" si="15"/>
        <v>0</v>
      </c>
      <c r="N305" s="49" t="str">
        <f t="shared" si="16"/>
        <v>BE</v>
      </c>
      <c r="O305" s="49">
        <f t="shared" si="17"/>
        <v>10.01</v>
      </c>
    </row>
    <row r="306" spans="2:15" x14ac:dyDescent="0.2">
      <c r="B306" s="44"/>
      <c r="D306" s="58"/>
      <c r="M306" s="49">
        <f t="shared" si="15"/>
        <v>0</v>
      </c>
      <c r="N306" s="49" t="str">
        <f t="shared" si="16"/>
        <v>BE</v>
      </c>
      <c r="O306" s="49">
        <f t="shared" si="17"/>
        <v>10.01</v>
      </c>
    </row>
    <row r="307" spans="2:15" x14ac:dyDescent="0.2">
      <c r="B307" s="44"/>
      <c r="D307" s="58"/>
      <c r="M307" s="49">
        <f t="shared" si="15"/>
        <v>0</v>
      </c>
      <c r="N307" s="49" t="str">
        <f t="shared" si="16"/>
        <v>BE</v>
      </c>
      <c r="O307" s="49">
        <f t="shared" si="17"/>
        <v>10.01</v>
      </c>
    </row>
    <row r="308" spans="2:15" x14ac:dyDescent="0.2">
      <c r="B308" s="44"/>
      <c r="D308" s="58"/>
      <c r="M308" s="49">
        <f t="shared" si="15"/>
        <v>0</v>
      </c>
      <c r="N308" s="49" t="str">
        <f t="shared" si="16"/>
        <v>BE</v>
      </c>
      <c r="O308" s="49">
        <f t="shared" si="17"/>
        <v>10.01</v>
      </c>
    </row>
    <row r="309" spans="2:15" x14ac:dyDescent="0.2">
      <c r="B309" s="44"/>
      <c r="D309" s="58"/>
      <c r="M309" s="49">
        <f t="shared" si="15"/>
        <v>0</v>
      </c>
      <c r="N309" s="49" t="str">
        <f t="shared" si="16"/>
        <v>BE</v>
      </c>
      <c r="O309" s="49">
        <f t="shared" si="17"/>
        <v>10.01</v>
      </c>
    </row>
    <row r="310" spans="2:15" x14ac:dyDescent="0.2">
      <c r="B310" s="44"/>
      <c r="D310" s="58"/>
      <c r="M310" s="49">
        <f t="shared" si="15"/>
        <v>0</v>
      </c>
      <c r="N310" s="49" t="str">
        <f t="shared" si="16"/>
        <v>BE</v>
      </c>
      <c r="O310" s="49">
        <f t="shared" si="17"/>
        <v>10.01</v>
      </c>
    </row>
    <row r="311" spans="2:15" x14ac:dyDescent="0.2">
      <c r="B311" s="44"/>
      <c r="D311" s="58"/>
      <c r="M311" s="49">
        <f t="shared" si="15"/>
        <v>0</v>
      </c>
      <c r="N311" s="49" t="str">
        <f t="shared" si="16"/>
        <v>BE</v>
      </c>
      <c r="O311" s="49">
        <f t="shared" si="17"/>
        <v>10.01</v>
      </c>
    </row>
    <row r="312" spans="2:15" x14ac:dyDescent="0.2">
      <c r="B312" s="44"/>
      <c r="D312" s="58"/>
      <c r="M312" s="49">
        <f t="shared" si="15"/>
        <v>0</v>
      </c>
      <c r="N312" s="49" t="str">
        <f t="shared" si="16"/>
        <v>BE</v>
      </c>
      <c r="O312" s="49">
        <f t="shared" si="17"/>
        <v>10.01</v>
      </c>
    </row>
    <row r="313" spans="2:15" x14ac:dyDescent="0.2">
      <c r="B313" s="44"/>
      <c r="D313" s="58"/>
      <c r="M313" s="49">
        <f t="shared" si="15"/>
        <v>0</v>
      </c>
      <c r="N313" s="49" t="str">
        <f t="shared" si="16"/>
        <v>BE</v>
      </c>
      <c r="O313" s="49">
        <f t="shared" si="17"/>
        <v>10.01</v>
      </c>
    </row>
    <row r="314" spans="2:15" x14ac:dyDescent="0.2">
      <c r="B314" s="44"/>
      <c r="D314" s="58"/>
      <c r="M314" s="49">
        <f t="shared" si="15"/>
        <v>0</v>
      </c>
      <c r="N314" s="49" t="str">
        <f t="shared" si="16"/>
        <v>BE</v>
      </c>
      <c r="O314" s="49">
        <f t="shared" si="17"/>
        <v>10.01</v>
      </c>
    </row>
    <row r="315" spans="2:15" x14ac:dyDescent="0.2">
      <c r="B315" s="44"/>
      <c r="D315" s="58"/>
      <c r="M315" s="49">
        <f t="shared" si="15"/>
        <v>0</v>
      </c>
      <c r="N315" s="49" t="str">
        <f t="shared" si="16"/>
        <v>BE</v>
      </c>
      <c r="O315" s="49">
        <f t="shared" si="17"/>
        <v>10.01</v>
      </c>
    </row>
    <row r="316" spans="2:15" x14ac:dyDescent="0.2">
      <c r="B316" s="44"/>
      <c r="D316" s="58"/>
      <c r="M316" s="49">
        <f t="shared" si="15"/>
        <v>0</v>
      </c>
      <c r="N316" s="49" t="str">
        <f t="shared" si="16"/>
        <v>BE</v>
      </c>
      <c r="O316" s="49">
        <f t="shared" si="17"/>
        <v>10.01</v>
      </c>
    </row>
    <row r="317" spans="2:15" x14ac:dyDescent="0.2">
      <c r="B317" s="44"/>
      <c r="D317" s="58"/>
      <c r="M317" s="49">
        <f t="shared" si="15"/>
        <v>0</v>
      </c>
      <c r="N317" s="49" t="str">
        <f t="shared" si="16"/>
        <v>BE</v>
      </c>
      <c r="O317" s="49">
        <f t="shared" si="17"/>
        <v>10.01</v>
      </c>
    </row>
    <row r="318" spans="2:15" x14ac:dyDescent="0.2">
      <c r="B318" s="44"/>
      <c r="D318" s="58"/>
      <c r="M318" s="49">
        <f t="shared" si="15"/>
        <v>0</v>
      </c>
      <c r="N318" s="49" t="str">
        <f t="shared" si="16"/>
        <v>BE</v>
      </c>
      <c r="O318" s="49">
        <f t="shared" si="17"/>
        <v>10.01</v>
      </c>
    </row>
    <row r="319" spans="2:15" x14ac:dyDescent="0.2">
      <c r="B319" s="44"/>
      <c r="D319" s="58"/>
      <c r="M319" s="49">
        <f t="shared" si="15"/>
        <v>0</v>
      </c>
      <c r="N319" s="49" t="str">
        <f t="shared" si="16"/>
        <v>BE</v>
      </c>
      <c r="O319" s="49">
        <f t="shared" si="17"/>
        <v>10.01</v>
      </c>
    </row>
    <row r="320" spans="2:15" x14ac:dyDescent="0.2">
      <c r="B320" s="44"/>
      <c r="D320" s="58"/>
      <c r="M320" s="49">
        <f t="shared" si="15"/>
        <v>0</v>
      </c>
      <c r="N320" s="49" t="str">
        <f t="shared" si="16"/>
        <v>BE</v>
      </c>
      <c r="O320" s="49">
        <f t="shared" si="17"/>
        <v>10.01</v>
      </c>
    </row>
    <row r="321" spans="2:15" x14ac:dyDescent="0.2">
      <c r="B321" s="44"/>
      <c r="D321" s="58"/>
      <c r="M321" s="49">
        <f t="shared" si="15"/>
        <v>0</v>
      </c>
      <c r="N321" s="49" t="str">
        <f t="shared" si="16"/>
        <v>BE</v>
      </c>
      <c r="O321" s="49">
        <f t="shared" si="17"/>
        <v>10.01</v>
      </c>
    </row>
    <row r="322" spans="2:15" x14ac:dyDescent="0.2">
      <c r="B322" s="44"/>
      <c r="D322" s="58"/>
      <c r="M322" s="49">
        <f t="shared" si="15"/>
        <v>0</v>
      </c>
      <c r="N322" s="49" t="str">
        <f t="shared" si="16"/>
        <v>BE</v>
      </c>
      <c r="O322" s="49">
        <f t="shared" si="17"/>
        <v>10.01</v>
      </c>
    </row>
    <row r="323" spans="2:15" x14ac:dyDescent="0.2">
      <c r="B323" s="44"/>
      <c r="D323" s="58"/>
      <c r="M323" s="49">
        <f t="shared" ref="M323:M386" si="18">IF(ISBLANK(L323),IF(H323="Long",(K323-J323)*G323,(J323-K323)*G323),IF(H323="Long",(K323-J323)*(G323/2)+(L323-J323)*(G323/2),(J323-K323)*(G323/2)+(J323-L323)*(G323/2)))</f>
        <v>0</v>
      </c>
      <c r="N323" s="49" t="str">
        <f t="shared" ref="N323:N386" si="19">_xlfn.IFS(M323&gt;0,"win",M323&lt;0,"lose",M323=0,"BE")</f>
        <v>BE</v>
      </c>
      <c r="O323" s="49">
        <f t="shared" si="17"/>
        <v>10.01</v>
      </c>
    </row>
    <row r="324" spans="2:15" x14ac:dyDescent="0.2">
      <c r="B324" s="44"/>
      <c r="D324" s="58"/>
      <c r="M324" s="49">
        <f t="shared" si="18"/>
        <v>0</v>
      </c>
      <c r="N324" s="49" t="str">
        <f t="shared" si="19"/>
        <v>BE</v>
      </c>
      <c r="O324" s="49">
        <f t="shared" si="17"/>
        <v>10.01</v>
      </c>
    </row>
    <row r="325" spans="2:15" x14ac:dyDescent="0.2">
      <c r="B325" s="44"/>
      <c r="D325" s="58"/>
      <c r="M325" s="49">
        <f t="shared" si="18"/>
        <v>0</v>
      </c>
      <c r="N325" s="49" t="str">
        <f t="shared" si="19"/>
        <v>BE</v>
      </c>
      <c r="O325" s="49">
        <f t="shared" si="17"/>
        <v>10.01</v>
      </c>
    </row>
    <row r="326" spans="2:15" x14ac:dyDescent="0.2">
      <c r="B326" s="44"/>
      <c r="D326" s="58"/>
      <c r="M326" s="49">
        <f t="shared" si="18"/>
        <v>0</v>
      </c>
      <c r="N326" s="49" t="str">
        <f t="shared" si="19"/>
        <v>BE</v>
      </c>
      <c r="O326" s="49">
        <f t="shared" si="17"/>
        <v>10.01</v>
      </c>
    </row>
    <row r="327" spans="2:15" x14ac:dyDescent="0.2">
      <c r="B327" s="44"/>
      <c r="D327" s="58"/>
      <c r="M327" s="49">
        <f t="shared" si="18"/>
        <v>0</v>
      </c>
      <c r="N327" s="49" t="str">
        <f t="shared" si="19"/>
        <v>BE</v>
      </c>
      <c r="O327" s="49">
        <f t="shared" si="17"/>
        <v>10.01</v>
      </c>
    </row>
    <row r="328" spans="2:15" x14ac:dyDescent="0.2">
      <c r="B328" s="44"/>
      <c r="D328" s="58"/>
      <c r="M328" s="49">
        <f t="shared" si="18"/>
        <v>0</v>
      </c>
      <c r="N328" s="49" t="str">
        <f t="shared" si="19"/>
        <v>BE</v>
      </c>
      <c r="O328" s="49">
        <f t="shared" ref="O328:O364" si="20">M328+O327</f>
        <v>10.01</v>
      </c>
    </row>
    <row r="329" spans="2:15" x14ac:dyDescent="0.2">
      <c r="B329" s="44"/>
      <c r="D329" s="58"/>
      <c r="M329" s="49">
        <f t="shared" si="18"/>
        <v>0</v>
      </c>
      <c r="N329" s="49" t="str">
        <f t="shared" si="19"/>
        <v>BE</v>
      </c>
      <c r="O329" s="49">
        <f t="shared" si="20"/>
        <v>10.01</v>
      </c>
    </row>
    <row r="330" spans="2:15" x14ac:dyDescent="0.2">
      <c r="B330" s="44"/>
      <c r="D330" s="58"/>
      <c r="M330" s="49">
        <f t="shared" si="18"/>
        <v>0</v>
      </c>
      <c r="N330" s="49" t="str">
        <f t="shared" si="19"/>
        <v>BE</v>
      </c>
      <c r="O330" s="49">
        <f t="shared" si="20"/>
        <v>10.01</v>
      </c>
    </row>
    <row r="331" spans="2:15" x14ac:dyDescent="0.2">
      <c r="B331" s="44"/>
      <c r="D331" s="58"/>
      <c r="M331" s="49">
        <f t="shared" si="18"/>
        <v>0</v>
      </c>
      <c r="N331" s="49" t="str">
        <f t="shared" si="19"/>
        <v>BE</v>
      </c>
      <c r="O331" s="49">
        <f t="shared" si="20"/>
        <v>10.01</v>
      </c>
    </row>
    <row r="332" spans="2:15" x14ac:dyDescent="0.2">
      <c r="B332" s="44"/>
      <c r="D332" s="58"/>
      <c r="M332" s="49">
        <f t="shared" si="18"/>
        <v>0</v>
      </c>
      <c r="N332" s="49" t="str">
        <f t="shared" si="19"/>
        <v>BE</v>
      </c>
      <c r="O332" s="49">
        <f t="shared" si="20"/>
        <v>10.01</v>
      </c>
    </row>
    <row r="333" spans="2:15" x14ac:dyDescent="0.2">
      <c r="B333" s="44"/>
      <c r="D333" s="58"/>
      <c r="M333" s="49">
        <f t="shared" si="18"/>
        <v>0</v>
      </c>
      <c r="N333" s="49" t="str">
        <f t="shared" si="19"/>
        <v>BE</v>
      </c>
      <c r="O333" s="49">
        <f t="shared" si="20"/>
        <v>10.01</v>
      </c>
    </row>
    <row r="334" spans="2:15" x14ac:dyDescent="0.2">
      <c r="B334" s="44"/>
      <c r="D334" s="58"/>
      <c r="M334" s="49">
        <f t="shared" si="18"/>
        <v>0</v>
      </c>
      <c r="N334" s="49" t="str">
        <f t="shared" si="19"/>
        <v>BE</v>
      </c>
      <c r="O334" s="49">
        <f t="shared" si="20"/>
        <v>10.01</v>
      </c>
    </row>
    <row r="335" spans="2:15" x14ac:dyDescent="0.2">
      <c r="B335" s="44"/>
      <c r="D335" s="58"/>
      <c r="M335" s="49">
        <f t="shared" si="18"/>
        <v>0</v>
      </c>
      <c r="N335" s="49" t="str">
        <f t="shared" si="19"/>
        <v>BE</v>
      </c>
      <c r="O335" s="49">
        <f t="shared" si="20"/>
        <v>10.01</v>
      </c>
    </row>
    <row r="336" spans="2:15" x14ac:dyDescent="0.2">
      <c r="B336" s="44"/>
      <c r="D336" s="58"/>
      <c r="M336" s="49">
        <f t="shared" si="18"/>
        <v>0</v>
      </c>
      <c r="N336" s="49" t="str">
        <f t="shared" si="19"/>
        <v>BE</v>
      </c>
      <c r="O336" s="49">
        <f t="shared" si="20"/>
        <v>10.01</v>
      </c>
    </row>
    <row r="337" spans="2:15" x14ac:dyDescent="0.2">
      <c r="B337" s="44"/>
      <c r="D337" s="58"/>
      <c r="M337" s="49">
        <f t="shared" si="18"/>
        <v>0</v>
      </c>
      <c r="N337" s="49" t="str">
        <f t="shared" si="19"/>
        <v>BE</v>
      </c>
      <c r="O337" s="49">
        <f t="shared" si="20"/>
        <v>10.01</v>
      </c>
    </row>
    <row r="338" spans="2:15" x14ac:dyDescent="0.2">
      <c r="B338" s="44"/>
      <c r="D338" s="58"/>
      <c r="M338" s="49">
        <f t="shared" si="18"/>
        <v>0</v>
      </c>
      <c r="N338" s="49" t="str">
        <f t="shared" si="19"/>
        <v>BE</v>
      </c>
      <c r="O338" s="49">
        <f t="shared" si="20"/>
        <v>10.01</v>
      </c>
    </row>
    <row r="339" spans="2:15" x14ac:dyDescent="0.2">
      <c r="B339" s="44"/>
      <c r="D339" s="58"/>
      <c r="M339" s="49">
        <f t="shared" si="18"/>
        <v>0</v>
      </c>
      <c r="N339" s="49" t="str">
        <f t="shared" si="19"/>
        <v>BE</v>
      </c>
      <c r="O339" s="49">
        <f t="shared" si="20"/>
        <v>10.01</v>
      </c>
    </row>
    <row r="340" spans="2:15" x14ac:dyDescent="0.2">
      <c r="B340" s="44"/>
      <c r="D340" s="58"/>
      <c r="M340" s="49">
        <f t="shared" si="18"/>
        <v>0</v>
      </c>
      <c r="N340" s="49" t="str">
        <f t="shared" si="19"/>
        <v>BE</v>
      </c>
      <c r="O340" s="49">
        <f t="shared" si="20"/>
        <v>10.01</v>
      </c>
    </row>
    <row r="341" spans="2:15" x14ac:dyDescent="0.2">
      <c r="B341" s="44"/>
      <c r="D341" s="58"/>
      <c r="M341" s="49">
        <f t="shared" si="18"/>
        <v>0</v>
      </c>
      <c r="N341" s="49" t="str">
        <f t="shared" si="19"/>
        <v>BE</v>
      </c>
      <c r="O341" s="49">
        <f t="shared" si="20"/>
        <v>10.01</v>
      </c>
    </row>
    <row r="342" spans="2:15" x14ac:dyDescent="0.2">
      <c r="B342" s="44"/>
      <c r="D342" s="58"/>
      <c r="M342" s="49">
        <f t="shared" si="18"/>
        <v>0</v>
      </c>
      <c r="N342" s="49" t="str">
        <f t="shared" si="19"/>
        <v>BE</v>
      </c>
      <c r="O342" s="49">
        <f t="shared" si="20"/>
        <v>10.01</v>
      </c>
    </row>
    <row r="343" spans="2:15" x14ac:dyDescent="0.2">
      <c r="B343" s="44"/>
      <c r="D343" s="58"/>
      <c r="M343" s="49">
        <f t="shared" si="18"/>
        <v>0</v>
      </c>
      <c r="N343" s="49" t="str">
        <f t="shared" si="19"/>
        <v>BE</v>
      </c>
      <c r="O343" s="49">
        <f t="shared" si="20"/>
        <v>10.01</v>
      </c>
    </row>
    <row r="344" spans="2:15" x14ac:dyDescent="0.2">
      <c r="B344" s="44"/>
      <c r="D344" s="58"/>
      <c r="M344" s="49">
        <f t="shared" si="18"/>
        <v>0</v>
      </c>
      <c r="N344" s="49" t="str">
        <f t="shared" si="19"/>
        <v>BE</v>
      </c>
      <c r="O344" s="49">
        <f t="shared" si="20"/>
        <v>10.01</v>
      </c>
    </row>
    <row r="345" spans="2:15" x14ac:dyDescent="0.2">
      <c r="B345" s="44"/>
      <c r="D345" s="58"/>
      <c r="M345" s="49">
        <f t="shared" si="18"/>
        <v>0</v>
      </c>
      <c r="N345" s="49" t="str">
        <f t="shared" si="19"/>
        <v>BE</v>
      </c>
      <c r="O345" s="49">
        <f t="shared" si="20"/>
        <v>10.01</v>
      </c>
    </row>
    <row r="346" spans="2:15" x14ac:dyDescent="0.2">
      <c r="B346" s="44"/>
      <c r="D346" s="58"/>
      <c r="M346" s="49">
        <f t="shared" si="18"/>
        <v>0</v>
      </c>
      <c r="N346" s="49" t="str">
        <f t="shared" si="19"/>
        <v>BE</v>
      </c>
      <c r="O346" s="49">
        <f t="shared" si="20"/>
        <v>10.01</v>
      </c>
    </row>
    <row r="347" spans="2:15" x14ac:dyDescent="0.2">
      <c r="B347" s="44"/>
      <c r="D347" s="58"/>
      <c r="M347" s="49">
        <f t="shared" si="18"/>
        <v>0</v>
      </c>
      <c r="N347" s="49" t="str">
        <f t="shared" si="19"/>
        <v>BE</v>
      </c>
      <c r="O347" s="49">
        <f t="shared" si="20"/>
        <v>10.01</v>
      </c>
    </row>
    <row r="348" spans="2:15" x14ac:dyDescent="0.2">
      <c r="B348" s="44"/>
      <c r="D348" s="58"/>
      <c r="M348" s="49">
        <f t="shared" si="18"/>
        <v>0</v>
      </c>
      <c r="N348" s="49" t="str">
        <f t="shared" si="19"/>
        <v>BE</v>
      </c>
      <c r="O348" s="49">
        <f t="shared" si="20"/>
        <v>10.01</v>
      </c>
    </row>
    <row r="349" spans="2:15" x14ac:dyDescent="0.2">
      <c r="B349" s="44"/>
      <c r="D349" s="58"/>
      <c r="M349" s="49">
        <f t="shared" si="18"/>
        <v>0</v>
      </c>
      <c r="N349" s="49" t="str">
        <f t="shared" si="19"/>
        <v>BE</v>
      </c>
      <c r="O349" s="49">
        <f t="shared" si="20"/>
        <v>10.01</v>
      </c>
    </row>
    <row r="350" spans="2:15" x14ac:dyDescent="0.2">
      <c r="B350" s="44"/>
      <c r="D350" s="58"/>
      <c r="M350" s="49">
        <f t="shared" si="18"/>
        <v>0</v>
      </c>
      <c r="N350" s="49" t="str">
        <f t="shared" si="19"/>
        <v>BE</v>
      </c>
      <c r="O350" s="49">
        <f t="shared" si="20"/>
        <v>10.01</v>
      </c>
    </row>
    <row r="351" spans="2:15" x14ac:dyDescent="0.2">
      <c r="B351" s="44"/>
      <c r="D351" s="58"/>
      <c r="M351" s="49">
        <f t="shared" si="18"/>
        <v>0</v>
      </c>
      <c r="N351" s="49" t="str">
        <f t="shared" si="19"/>
        <v>BE</v>
      </c>
      <c r="O351" s="49">
        <f t="shared" si="20"/>
        <v>10.01</v>
      </c>
    </row>
    <row r="352" spans="2:15" x14ac:dyDescent="0.2">
      <c r="B352" s="44"/>
      <c r="D352" s="58"/>
      <c r="M352" s="49">
        <f t="shared" si="18"/>
        <v>0</v>
      </c>
      <c r="N352" s="49" t="str">
        <f t="shared" si="19"/>
        <v>BE</v>
      </c>
      <c r="O352" s="49">
        <f t="shared" si="20"/>
        <v>10.01</v>
      </c>
    </row>
    <row r="353" spans="2:15" x14ac:dyDescent="0.2">
      <c r="B353" s="44"/>
      <c r="D353" s="58"/>
      <c r="M353" s="49">
        <f t="shared" si="18"/>
        <v>0</v>
      </c>
      <c r="N353" s="49" t="str">
        <f t="shared" si="19"/>
        <v>BE</v>
      </c>
      <c r="O353" s="49">
        <f t="shared" si="20"/>
        <v>10.01</v>
      </c>
    </row>
    <row r="354" spans="2:15" x14ac:dyDescent="0.2">
      <c r="B354" s="44"/>
      <c r="D354" s="58"/>
      <c r="M354" s="49">
        <f t="shared" si="18"/>
        <v>0</v>
      </c>
      <c r="N354" s="49" t="str">
        <f t="shared" si="19"/>
        <v>BE</v>
      </c>
      <c r="O354" s="49">
        <f t="shared" si="20"/>
        <v>10.01</v>
      </c>
    </row>
    <row r="355" spans="2:15" x14ac:dyDescent="0.2">
      <c r="B355" s="44"/>
      <c r="D355" s="58"/>
      <c r="M355" s="49">
        <f t="shared" si="18"/>
        <v>0</v>
      </c>
      <c r="N355" s="49" t="str">
        <f t="shared" si="19"/>
        <v>BE</v>
      </c>
      <c r="O355" s="49">
        <f t="shared" si="20"/>
        <v>10.01</v>
      </c>
    </row>
    <row r="356" spans="2:15" x14ac:dyDescent="0.2">
      <c r="B356" s="44"/>
      <c r="D356" s="58"/>
      <c r="M356" s="49">
        <f t="shared" si="18"/>
        <v>0</v>
      </c>
      <c r="N356" s="49" t="str">
        <f t="shared" si="19"/>
        <v>BE</v>
      </c>
      <c r="O356" s="49">
        <f t="shared" si="20"/>
        <v>10.01</v>
      </c>
    </row>
    <row r="357" spans="2:15" x14ac:dyDescent="0.2">
      <c r="B357" s="44"/>
      <c r="D357" s="58"/>
      <c r="M357" s="49">
        <f t="shared" si="18"/>
        <v>0</v>
      </c>
      <c r="N357" s="49" t="str">
        <f t="shared" si="19"/>
        <v>BE</v>
      </c>
      <c r="O357" s="49">
        <f t="shared" si="20"/>
        <v>10.01</v>
      </c>
    </row>
    <row r="358" spans="2:15" x14ac:dyDescent="0.2">
      <c r="B358" s="44"/>
      <c r="D358" s="58"/>
      <c r="M358" s="49">
        <f t="shared" si="18"/>
        <v>0</v>
      </c>
      <c r="N358" s="49" t="str">
        <f t="shared" si="19"/>
        <v>BE</v>
      </c>
      <c r="O358" s="49">
        <f t="shared" si="20"/>
        <v>10.01</v>
      </c>
    </row>
    <row r="359" spans="2:15" x14ac:dyDescent="0.2">
      <c r="B359" s="44"/>
      <c r="D359" s="58"/>
      <c r="M359" s="49">
        <f t="shared" si="18"/>
        <v>0</v>
      </c>
      <c r="N359" s="49" t="str">
        <f t="shared" si="19"/>
        <v>BE</v>
      </c>
      <c r="O359" s="49">
        <f t="shared" si="20"/>
        <v>10.01</v>
      </c>
    </row>
    <row r="360" spans="2:15" x14ac:dyDescent="0.2">
      <c r="B360" s="44"/>
      <c r="D360" s="58"/>
      <c r="M360" s="49">
        <f t="shared" si="18"/>
        <v>0</v>
      </c>
      <c r="N360" s="49" t="str">
        <f t="shared" si="19"/>
        <v>BE</v>
      </c>
      <c r="O360" s="49">
        <f t="shared" si="20"/>
        <v>10.01</v>
      </c>
    </row>
    <row r="361" spans="2:15" x14ac:dyDescent="0.2">
      <c r="B361" s="44"/>
      <c r="D361" s="58"/>
      <c r="M361" s="49">
        <f t="shared" si="18"/>
        <v>0</v>
      </c>
      <c r="N361" s="49" t="str">
        <f t="shared" si="19"/>
        <v>BE</v>
      </c>
      <c r="O361" s="49">
        <f t="shared" si="20"/>
        <v>10.01</v>
      </c>
    </row>
    <row r="362" spans="2:15" x14ac:dyDescent="0.2">
      <c r="B362" s="44"/>
      <c r="D362" s="58"/>
      <c r="M362" s="49">
        <f t="shared" si="18"/>
        <v>0</v>
      </c>
      <c r="N362" s="49" t="str">
        <f t="shared" si="19"/>
        <v>BE</v>
      </c>
      <c r="O362" s="49">
        <f t="shared" si="20"/>
        <v>10.01</v>
      </c>
    </row>
    <row r="363" spans="2:15" x14ac:dyDescent="0.2">
      <c r="B363" s="44"/>
      <c r="D363" s="58"/>
      <c r="M363" s="49">
        <f t="shared" si="18"/>
        <v>0</v>
      </c>
      <c r="N363" s="49" t="str">
        <f t="shared" si="19"/>
        <v>BE</v>
      </c>
      <c r="O363" s="49">
        <f t="shared" si="20"/>
        <v>10.01</v>
      </c>
    </row>
    <row r="364" spans="2:15" x14ac:dyDescent="0.2">
      <c r="B364" s="44"/>
      <c r="D364" s="58"/>
      <c r="M364" s="49">
        <f t="shared" si="18"/>
        <v>0</v>
      </c>
      <c r="N364" s="49" t="str">
        <f t="shared" si="19"/>
        <v>BE</v>
      </c>
      <c r="O364" s="49">
        <f t="shared" si="20"/>
        <v>10.01</v>
      </c>
    </row>
    <row r="365" spans="2:15" x14ac:dyDescent="0.2">
      <c r="D365" s="58"/>
      <c r="M365" s="49">
        <f t="shared" si="18"/>
        <v>0</v>
      </c>
      <c r="N365" s="49" t="str">
        <f t="shared" si="19"/>
        <v>BE</v>
      </c>
    </row>
    <row r="366" spans="2:15" x14ac:dyDescent="0.2">
      <c r="D366" s="58"/>
      <c r="M366" s="49">
        <f t="shared" si="18"/>
        <v>0</v>
      </c>
      <c r="N366" s="49" t="str">
        <f t="shared" si="19"/>
        <v>BE</v>
      </c>
    </row>
    <row r="367" spans="2:15" x14ac:dyDescent="0.2">
      <c r="D367" s="58"/>
      <c r="M367" s="49">
        <f t="shared" si="18"/>
        <v>0</v>
      </c>
      <c r="N367" s="49" t="str">
        <f t="shared" si="19"/>
        <v>BE</v>
      </c>
    </row>
    <row r="368" spans="2:15" x14ac:dyDescent="0.2">
      <c r="D368" s="58"/>
      <c r="M368" s="49">
        <f t="shared" si="18"/>
        <v>0</v>
      </c>
      <c r="N368" s="49" t="str">
        <f t="shared" si="19"/>
        <v>BE</v>
      </c>
    </row>
    <row r="369" spans="4:14" x14ac:dyDescent="0.2">
      <c r="D369" s="58"/>
      <c r="M369" s="49">
        <f t="shared" si="18"/>
        <v>0</v>
      </c>
      <c r="N369" s="49" t="str">
        <f t="shared" si="19"/>
        <v>BE</v>
      </c>
    </row>
    <row r="370" spans="4:14" x14ac:dyDescent="0.2">
      <c r="D370" s="58"/>
      <c r="M370" s="49">
        <f t="shared" si="18"/>
        <v>0</v>
      </c>
      <c r="N370" s="49" t="str">
        <f t="shared" si="19"/>
        <v>BE</v>
      </c>
    </row>
    <row r="371" spans="4:14" x14ac:dyDescent="0.2">
      <c r="D371" s="58"/>
      <c r="M371" s="49">
        <f t="shared" si="18"/>
        <v>0</v>
      </c>
      <c r="N371" s="49" t="str">
        <f t="shared" si="19"/>
        <v>BE</v>
      </c>
    </row>
    <row r="372" spans="4:14" x14ac:dyDescent="0.2">
      <c r="D372" s="58"/>
      <c r="M372" s="49">
        <f t="shared" si="18"/>
        <v>0</v>
      </c>
      <c r="N372" s="49" t="str">
        <f t="shared" si="19"/>
        <v>BE</v>
      </c>
    </row>
    <row r="373" spans="4:14" x14ac:dyDescent="0.2">
      <c r="D373" s="58"/>
      <c r="M373" s="49">
        <f t="shared" si="18"/>
        <v>0</v>
      </c>
      <c r="N373" s="49" t="str">
        <f t="shared" si="19"/>
        <v>BE</v>
      </c>
    </row>
    <row r="374" spans="4:14" x14ac:dyDescent="0.2">
      <c r="D374" s="58"/>
      <c r="M374" s="49">
        <f t="shared" si="18"/>
        <v>0</v>
      </c>
      <c r="N374" s="49" t="str">
        <f t="shared" si="19"/>
        <v>BE</v>
      </c>
    </row>
    <row r="375" spans="4:14" x14ac:dyDescent="0.2">
      <c r="D375" s="58"/>
      <c r="M375" s="49">
        <f t="shared" si="18"/>
        <v>0</v>
      </c>
      <c r="N375" s="49" t="str">
        <f t="shared" si="19"/>
        <v>BE</v>
      </c>
    </row>
    <row r="376" spans="4:14" x14ac:dyDescent="0.2">
      <c r="D376" s="58"/>
      <c r="M376" s="49">
        <f t="shared" si="18"/>
        <v>0</v>
      </c>
      <c r="N376" s="49" t="str">
        <f t="shared" si="19"/>
        <v>BE</v>
      </c>
    </row>
    <row r="377" spans="4:14" x14ac:dyDescent="0.2">
      <c r="D377" s="58"/>
      <c r="M377" s="49">
        <f t="shared" si="18"/>
        <v>0</v>
      </c>
      <c r="N377" s="49" t="str">
        <f t="shared" si="19"/>
        <v>BE</v>
      </c>
    </row>
    <row r="378" spans="4:14" x14ac:dyDescent="0.2">
      <c r="D378" s="58"/>
      <c r="M378" s="49">
        <f t="shared" si="18"/>
        <v>0</v>
      </c>
      <c r="N378" s="49" t="str">
        <f t="shared" si="19"/>
        <v>BE</v>
      </c>
    </row>
    <row r="379" spans="4:14" x14ac:dyDescent="0.2">
      <c r="D379" s="58"/>
      <c r="M379" s="49">
        <f t="shared" si="18"/>
        <v>0</v>
      </c>
      <c r="N379" s="49" t="str">
        <f t="shared" si="19"/>
        <v>BE</v>
      </c>
    </row>
    <row r="380" spans="4:14" x14ac:dyDescent="0.2">
      <c r="D380" s="58"/>
      <c r="M380" s="49">
        <f t="shared" si="18"/>
        <v>0</v>
      </c>
      <c r="N380" s="49" t="str">
        <f t="shared" si="19"/>
        <v>BE</v>
      </c>
    </row>
    <row r="381" spans="4:14" x14ac:dyDescent="0.2">
      <c r="D381" s="58"/>
      <c r="M381" s="49">
        <f t="shared" si="18"/>
        <v>0</v>
      </c>
      <c r="N381" s="49" t="str">
        <f t="shared" si="19"/>
        <v>BE</v>
      </c>
    </row>
    <row r="382" spans="4:14" x14ac:dyDescent="0.2">
      <c r="D382" s="58"/>
      <c r="M382" s="49">
        <f t="shared" si="18"/>
        <v>0</v>
      </c>
      <c r="N382" s="49" t="str">
        <f t="shared" si="19"/>
        <v>BE</v>
      </c>
    </row>
    <row r="383" spans="4:14" x14ac:dyDescent="0.2">
      <c r="D383" s="58"/>
      <c r="M383" s="49">
        <f t="shared" si="18"/>
        <v>0</v>
      </c>
      <c r="N383" s="49" t="str">
        <f t="shared" si="19"/>
        <v>BE</v>
      </c>
    </row>
    <row r="384" spans="4:14" x14ac:dyDescent="0.2">
      <c r="D384" s="58"/>
      <c r="M384" s="49">
        <f t="shared" si="18"/>
        <v>0</v>
      </c>
      <c r="N384" s="49" t="str">
        <f t="shared" si="19"/>
        <v>BE</v>
      </c>
    </row>
    <row r="385" spans="4:14" x14ac:dyDescent="0.2">
      <c r="D385" s="58"/>
      <c r="M385" s="49">
        <f t="shared" si="18"/>
        <v>0</v>
      </c>
      <c r="N385" s="49" t="str">
        <f t="shared" si="19"/>
        <v>BE</v>
      </c>
    </row>
    <row r="386" spans="4:14" x14ac:dyDescent="0.2">
      <c r="M386" s="49">
        <f t="shared" si="18"/>
        <v>0</v>
      </c>
      <c r="N386" s="49" t="str">
        <f t="shared" si="19"/>
        <v>BE</v>
      </c>
    </row>
    <row r="387" spans="4:14" x14ac:dyDescent="0.2">
      <c r="M387" s="49">
        <f t="shared" ref="M387:M450" si="21">IF(ISBLANK(L387),IF(H387="Long",(K387-J387)*G387,(J387-K387)*G387),IF(H387="Long",(K387-J387)*(G387/2)+(L387-J387)*(G387/2),(J387-K387)*(G387/2)+(J387-L387)*(G387/2)))</f>
        <v>0</v>
      </c>
      <c r="N387" s="49" t="str">
        <f t="shared" ref="N387:N450" si="22">_xlfn.IFS(M387&gt;0,"win",M387&lt;0,"lose",M387=0,"BE")</f>
        <v>BE</v>
      </c>
    </row>
    <row r="388" spans="4:14" x14ac:dyDescent="0.2">
      <c r="M388" s="49">
        <f t="shared" si="21"/>
        <v>0</v>
      </c>
      <c r="N388" s="49" t="str">
        <f t="shared" si="22"/>
        <v>BE</v>
      </c>
    </row>
    <row r="389" spans="4:14" x14ac:dyDescent="0.2">
      <c r="M389" s="49">
        <f t="shared" si="21"/>
        <v>0</v>
      </c>
      <c r="N389" s="49" t="str">
        <f t="shared" si="22"/>
        <v>BE</v>
      </c>
    </row>
    <row r="390" spans="4:14" x14ac:dyDescent="0.2">
      <c r="M390" s="49">
        <f t="shared" si="21"/>
        <v>0</v>
      </c>
      <c r="N390" s="49" t="str">
        <f t="shared" si="22"/>
        <v>BE</v>
      </c>
    </row>
    <row r="391" spans="4:14" x14ac:dyDescent="0.2">
      <c r="M391" s="49">
        <f t="shared" si="21"/>
        <v>0</v>
      </c>
      <c r="N391" s="49" t="str">
        <f t="shared" si="22"/>
        <v>BE</v>
      </c>
    </row>
    <row r="392" spans="4:14" x14ac:dyDescent="0.2">
      <c r="M392" s="49">
        <f t="shared" si="21"/>
        <v>0</v>
      </c>
      <c r="N392" s="49" t="str">
        <f t="shared" si="22"/>
        <v>BE</v>
      </c>
    </row>
    <row r="393" spans="4:14" x14ac:dyDescent="0.2">
      <c r="M393" s="49">
        <f t="shared" si="21"/>
        <v>0</v>
      </c>
      <c r="N393" s="49" t="str">
        <f t="shared" si="22"/>
        <v>BE</v>
      </c>
    </row>
    <row r="394" spans="4:14" x14ac:dyDescent="0.2">
      <c r="M394" s="49">
        <f t="shared" si="21"/>
        <v>0</v>
      </c>
      <c r="N394" s="49" t="str">
        <f t="shared" si="22"/>
        <v>BE</v>
      </c>
    </row>
    <row r="395" spans="4:14" x14ac:dyDescent="0.2">
      <c r="M395" s="49">
        <f t="shared" si="21"/>
        <v>0</v>
      </c>
      <c r="N395" s="49" t="str">
        <f t="shared" si="22"/>
        <v>BE</v>
      </c>
    </row>
    <row r="396" spans="4:14" x14ac:dyDescent="0.2">
      <c r="M396" s="49">
        <f t="shared" si="21"/>
        <v>0</v>
      </c>
      <c r="N396" s="49" t="str">
        <f t="shared" si="22"/>
        <v>BE</v>
      </c>
    </row>
    <row r="397" spans="4:14" x14ac:dyDescent="0.2">
      <c r="M397" s="49">
        <f t="shared" si="21"/>
        <v>0</v>
      </c>
      <c r="N397" s="49" t="str">
        <f t="shared" si="22"/>
        <v>BE</v>
      </c>
    </row>
    <row r="398" spans="4:14" x14ac:dyDescent="0.2">
      <c r="M398" s="49">
        <f t="shared" si="21"/>
        <v>0</v>
      </c>
      <c r="N398" s="49" t="str">
        <f t="shared" si="22"/>
        <v>BE</v>
      </c>
    </row>
    <row r="399" spans="4:14" x14ac:dyDescent="0.2">
      <c r="M399" s="49">
        <f t="shared" si="21"/>
        <v>0</v>
      </c>
      <c r="N399" s="49" t="str">
        <f t="shared" si="22"/>
        <v>BE</v>
      </c>
    </row>
    <row r="400" spans="4:14" x14ac:dyDescent="0.2">
      <c r="M400" s="49">
        <f t="shared" si="21"/>
        <v>0</v>
      </c>
      <c r="N400" s="49" t="str">
        <f t="shared" si="22"/>
        <v>BE</v>
      </c>
    </row>
    <row r="401" spans="13:14" x14ac:dyDescent="0.2">
      <c r="M401" s="49">
        <f t="shared" si="21"/>
        <v>0</v>
      </c>
      <c r="N401" s="49" t="str">
        <f t="shared" si="22"/>
        <v>BE</v>
      </c>
    </row>
    <row r="402" spans="13:14" x14ac:dyDescent="0.2">
      <c r="M402" s="49">
        <f t="shared" si="21"/>
        <v>0</v>
      </c>
      <c r="N402" s="49" t="str">
        <f t="shared" si="22"/>
        <v>BE</v>
      </c>
    </row>
    <row r="403" spans="13:14" x14ac:dyDescent="0.2">
      <c r="M403" s="49">
        <f t="shared" si="21"/>
        <v>0</v>
      </c>
      <c r="N403" s="49" t="str">
        <f t="shared" si="22"/>
        <v>BE</v>
      </c>
    </row>
    <row r="404" spans="13:14" x14ac:dyDescent="0.2">
      <c r="M404" s="49">
        <f t="shared" si="21"/>
        <v>0</v>
      </c>
      <c r="N404" s="49" t="str">
        <f t="shared" si="22"/>
        <v>BE</v>
      </c>
    </row>
    <row r="405" spans="13:14" x14ac:dyDescent="0.2">
      <c r="M405" s="49">
        <f t="shared" si="21"/>
        <v>0</v>
      </c>
      <c r="N405" s="49" t="str">
        <f t="shared" si="22"/>
        <v>BE</v>
      </c>
    </row>
    <row r="406" spans="13:14" x14ac:dyDescent="0.2">
      <c r="M406" s="49">
        <f t="shared" si="21"/>
        <v>0</v>
      </c>
      <c r="N406" s="49" t="str">
        <f t="shared" si="22"/>
        <v>BE</v>
      </c>
    </row>
    <row r="407" spans="13:14" x14ac:dyDescent="0.2">
      <c r="M407" s="49">
        <f t="shared" si="21"/>
        <v>0</v>
      </c>
      <c r="N407" s="49" t="str">
        <f t="shared" si="22"/>
        <v>BE</v>
      </c>
    </row>
    <row r="408" spans="13:14" x14ac:dyDescent="0.2">
      <c r="M408" s="49">
        <f t="shared" si="21"/>
        <v>0</v>
      </c>
      <c r="N408" s="49" t="str">
        <f t="shared" si="22"/>
        <v>BE</v>
      </c>
    </row>
    <row r="409" spans="13:14" x14ac:dyDescent="0.2">
      <c r="M409" s="49">
        <f t="shared" si="21"/>
        <v>0</v>
      </c>
      <c r="N409" s="49" t="str">
        <f t="shared" si="22"/>
        <v>BE</v>
      </c>
    </row>
    <row r="410" spans="13:14" x14ac:dyDescent="0.2">
      <c r="M410" s="49">
        <f t="shared" si="21"/>
        <v>0</v>
      </c>
      <c r="N410" s="49" t="str">
        <f t="shared" si="22"/>
        <v>BE</v>
      </c>
    </row>
    <row r="411" spans="13:14" x14ac:dyDescent="0.2">
      <c r="M411" s="49">
        <f t="shared" si="21"/>
        <v>0</v>
      </c>
      <c r="N411" s="49" t="str">
        <f t="shared" si="22"/>
        <v>BE</v>
      </c>
    </row>
    <row r="412" spans="13:14" x14ac:dyDescent="0.2">
      <c r="M412" s="49">
        <f t="shared" si="21"/>
        <v>0</v>
      </c>
      <c r="N412" s="49" t="str">
        <f t="shared" si="22"/>
        <v>BE</v>
      </c>
    </row>
    <row r="413" spans="13:14" x14ac:dyDescent="0.2">
      <c r="M413" s="49">
        <f t="shared" si="21"/>
        <v>0</v>
      </c>
      <c r="N413" s="49" t="str">
        <f t="shared" si="22"/>
        <v>BE</v>
      </c>
    </row>
    <row r="414" spans="13:14" x14ac:dyDescent="0.2">
      <c r="M414" s="49">
        <f t="shared" si="21"/>
        <v>0</v>
      </c>
      <c r="N414" s="49" t="str">
        <f t="shared" si="22"/>
        <v>BE</v>
      </c>
    </row>
    <row r="415" spans="13:14" x14ac:dyDescent="0.2">
      <c r="M415" s="49">
        <f t="shared" si="21"/>
        <v>0</v>
      </c>
      <c r="N415" s="49" t="str">
        <f t="shared" si="22"/>
        <v>BE</v>
      </c>
    </row>
    <row r="416" spans="13:14" x14ac:dyDescent="0.2">
      <c r="M416" s="49">
        <f t="shared" si="21"/>
        <v>0</v>
      </c>
      <c r="N416" s="49" t="str">
        <f t="shared" si="22"/>
        <v>BE</v>
      </c>
    </row>
    <row r="417" spans="13:14" x14ac:dyDescent="0.2">
      <c r="M417" s="49">
        <f t="shared" si="21"/>
        <v>0</v>
      </c>
      <c r="N417" s="49" t="str">
        <f t="shared" si="22"/>
        <v>BE</v>
      </c>
    </row>
    <row r="418" spans="13:14" x14ac:dyDescent="0.2">
      <c r="M418" s="49">
        <f t="shared" si="21"/>
        <v>0</v>
      </c>
      <c r="N418" s="49" t="str">
        <f t="shared" si="22"/>
        <v>BE</v>
      </c>
    </row>
    <row r="419" spans="13:14" x14ac:dyDescent="0.2">
      <c r="M419" s="49">
        <f t="shared" si="21"/>
        <v>0</v>
      </c>
      <c r="N419" s="49" t="str">
        <f t="shared" si="22"/>
        <v>BE</v>
      </c>
    </row>
    <row r="420" spans="13:14" x14ac:dyDescent="0.2">
      <c r="M420" s="49">
        <f t="shared" si="21"/>
        <v>0</v>
      </c>
      <c r="N420" s="49" t="str">
        <f t="shared" si="22"/>
        <v>BE</v>
      </c>
    </row>
    <row r="421" spans="13:14" x14ac:dyDescent="0.2">
      <c r="M421" s="49">
        <f t="shared" si="21"/>
        <v>0</v>
      </c>
      <c r="N421" s="49" t="str">
        <f t="shared" si="22"/>
        <v>BE</v>
      </c>
    </row>
    <row r="422" spans="13:14" x14ac:dyDescent="0.2">
      <c r="M422" s="49">
        <f t="shared" si="21"/>
        <v>0</v>
      </c>
      <c r="N422" s="49" t="str">
        <f t="shared" si="22"/>
        <v>BE</v>
      </c>
    </row>
    <row r="423" spans="13:14" x14ac:dyDescent="0.2">
      <c r="M423" s="49">
        <f t="shared" si="21"/>
        <v>0</v>
      </c>
      <c r="N423" s="49" t="str">
        <f t="shared" si="22"/>
        <v>BE</v>
      </c>
    </row>
    <row r="424" spans="13:14" x14ac:dyDescent="0.2">
      <c r="M424" s="49">
        <f t="shared" si="21"/>
        <v>0</v>
      </c>
      <c r="N424" s="49" t="str">
        <f t="shared" si="22"/>
        <v>BE</v>
      </c>
    </row>
    <row r="425" spans="13:14" x14ac:dyDescent="0.2">
      <c r="M425" s="49">
        <f t="shared" si="21"/>
        <v>0</v>
      </c>
      <c r="N425" s="49" t="str">
        <f t="shared" si="22"/>
        <v>BE</v>
      </c>
    </row>
    <row r="426" spans="13:14" x14ac:dyDescent="0.2">
      <c r="M426" s="49">
        <f t="shared" si="21"/>
        <v>0</v>
      </c>
      <c r="N426" s="49" t="str">
        <f t="shared" si="22"/>
        <v>BE</v>
      </c>
    </row>
    <row r="427" spans="13:14" x14ac:dyDescent="0.2">
      <c r="M427" s="49">
        <f t="shared" si="21"/>
        <v>0</v>
      </c>
      <c r="N427" s="49" t="str">
        <f t="shared" si="22"/>
        <v>BE</v>
      </c>
    </row>
    <row r="428" spans="13:14" x14ac:dyDescent="0.2">
      <c r="M428" s="49">
        <f t="shared" si="21"/>
        <v>0</v>
      </c>
      <c r="N428" s="49" t="str">
        <f t="shared" si="22"/>
        <v>BE</v>
      </c>
    </row>
    <row r="429" spans="13:14" x14ac:dyDescent="0.2">
      <c r="M429" s="49">
        <f t="shared" si="21"/>
        <v>0</v>
      </c>
      <c r="N429" s="49" t="str">
        <f t="shared" si="22"/>
        <v>BE</v>
      </c>
    </row>
    <row r="430" spans="13:14" x14ac:dyDescent="0.2">
      <c r="M430" s="49">
        <f t="shared" si="21"/>
        <v>0</v>
      </c>
      <c r="N430" s="49" t="str">
        <f t="shared" si="22"/>
        <v>BE</v>
      </c>
    </row>
    <row r="431" spans="13:14" x14ac:dyDescent="0.2">
      <c r="M431" s="49">
        <f t="shared" si="21"/>
        <v>0</v>
      </c>
      <c r="N431" s="49" t="str">
        <f t="shared" si="22"/>
        <v>BE</v>
      </c>
    </row>
    <row r="432" spans="13:14" x14ac:dyDescent="0.2">
      <c r="M432" s="49">
        <f t="shared" si="21"/>
        <v>0</v>
      </c>
      <c r="N432" s="49" t="str">
        <f t="shared" si="22"/>
        <v>BE</v>
      </c>
    </row>
    <row r="433" spans="13:14" x14ac:dyDescent="0.2">
      <c r="M433" s="49">
        <f t="shared" si="21"/>
        <v>0</v>
      </c>
      <c r="N433" s="49" t="str">
        <f t="shared" si="22"/>
        <v>BE</v>
      </c>
    </row>
    <row r="434" spans="13:14" x14ac:dyDescent="0.2">
      <c r="M434" s="49">
        <f t="shared" si="21"/>
        <v>0</v>
      </c>
      <c r="N434" s="49" t="str">
        <f t="shared" si="22"/>
        <v>BE</v>
      </c>
    </row>
    <row r="435" spans="13:14" x14ac:dyDescent="0.2">
      <c r="M435" s="49">
        <f t="shared" si="21"/>
        <v>0</v>
      </c>
      <c r="N435" s="49" t="str">
        <f t="shared" si="22"/>
        <v>BE</v>
      </c>
    </row>
    <row r="436" spans="13:14" x14ac:dyDescent="0.2">
      <c r="M436" s="49">
        <f t="shared" si="21"/>
        <v>0</v>
      </c>
      <c r="N436" s="49" t="str">
        <f t="shared" si="22"/>
        <v>BE</v>
      </c>
    </row>
    <row r="437" spans="13:14" x14ac:dyDescent="0.2">
      <c r="M437" s="49">
        <f t="shared" si="21"/>
        <v>0</v>
      </c>
      <c r="N437" s="49" t="str">
        <f t="shared" si="22"/>
        <v>BE</v>
      </c>
    </row>
    <row r="438" spans="13:14" x14ac:dyDescent="0.2">
      <c r="M438" s="49">
        <f t="shared" si="21"/>
        <v>0</v>
      </c>
      <c r="N438" s="49" t="str">
        <f t="shared" si="22"/>
        <v>BE</v>
      </c>
    </row>
    <row r="439" spans="13:14" x14ac:dyDescent="0.2">
      <c r="M439" s="49">
        <f t="shared" si="21"/>
        <v>0</v>
      </c>
      <c r="N439" s="49" t="str">
        <f t="shared" si="22"/>
        <v>BE</v>
      </c>
    </row>
    <row r="440" spans="13:14" x14ac:dyDescent="0.2">
      <c r="M440" s="49">
        <f t="shared" si="21"/>
        <v>0</v>
      </c>
      <c r="N440" s="49" t="str">
        <f t="shared" si="22"/>
        <v>BE</v>
      </c>
    </row>
    <row r="441" spans="13:14" x14ac:dyDescent="0.2">
      <c r="M441" s="49">
        <f t="shared" si="21"/>
        <v>0</v>
      </c>
      <c r="N441" s="49" t="str">
        <f t="shared" si="22"/>
        <v>BE</v>
      </c>
    </row>
    <row r="442" spans="13:14" x14ac:dyDescent="0.2">
      <c r="M442" s="49">
        <f t="shared" si="21"/>
        <v>0</v>
      </c>
      <c r="N442" s="49" t="str">
        <f t="shared" si="22"/>
        <v>BE</v>
      </c>
    </row>
    <row r="443" spans="13:14" x14ac:dyDescent="0.2">
      <c r="M443" s="49">
        <f t="shared" si="21"/>
        <v>0</v>
      </c>
      <c r="N443" s="49" t="str">
        <f t="shared" si="22"/>
        <v>BE</v>
      </c>
    </row>
    <row r="444" spans="13:14" x14ac:dyDescent="0.2">
      <c r="M444" s="49">
        <f t="shared" si="21"/>
        <v>0</v>
      </c>
      <c r="N444" s="49" t="str">
        <f t="shared" si="22"/>
        <v>BE</v>
      </c>
    </row>
    <row r="445" spans="13:14" x14ac:dyDescent="0.2">
      <c r="M445" s="49">
        <f t="shared" si="21"/>
        <v>0</v>
      </c>
      <c r="N445" s="49" t="str">
        <f t="shared" si="22"/>
        <v>BE</v>
      </c>
    </row>
    <row r="446" spans="13:14" x14ac:dyDescent="0.2">
      <c r="M446" s="49">
        <f t="shared" si="21"/>
        <v>0</v>
      </c>
      <c r="N446" s="49" t="str">
        <f t="shared" si="22"/>
        <v>BE</v>
      </c>
    </row>
    <row r="447" spans="13:14" x14ac:dyDescent="0.2">
      <c r="M447" s="49">
        <f t="shared" si="21"/>
        <v>0</v>
      </c>
      <c r="N447" s="49" t="str">
        <f t="shared" si="22"/>
        <v>BE</v>
      </c>
    </row>
    <row r="448" spans="13:14" x14ac:dyDescent="0.2">
      <c r="M448" s="49">
        <f t="shared" si="21"/>
        <v>0</v>
      </c>
      <c r="N448" s="49" t="str">
        <f t="shared" si="22"/>
        <v>BE</v>
      </c>
    </row>
    <row r="449" spans="13:14" x14ac:dyDescent="0.2">
      <c r="M449" s="49">
        <f t="shared" si="21"/>
        <v>0</v>
      </c>
      <c r="N449" s="49" t="str">
        <f t="shared" si="22"/>
        <v>BE</v>
      </c>
    </row>
    <row r="450" spans="13:14" x14ac:dyDescent="0.2">
      <c r="M450" s="49">
        <f t="shared" si="21"/>
        <v>0</v>
      </c>
      <c r="N450" s="49" t="str">
        <f t="shared" si="22"/>
        <v>BE</v>
      </c>
    </row>
    <row r="451" spans="13:14" x14ac:dyDescent="0.2">
      <c r="M451" s="49">
        <f t="shared" ref="M451:M504" si="23">IF(ISBLANK(L451),IF(H451="Long",(K451-J451)*G451,(J451-K451)*G451),IF(H451="Long",(K451-J451)*(G451/2)+(L451-J451)*(G451/2),(J451-K451)*(G451/2)+(J451-L451)*(G451/2)))</f>
        <v>0</v>
      </c>
      <c r="N451" s="49" t="str">
        <f t="shared" ref="N451:N504" si="24">_xlfn.IFS(M451&gt;0,"win",M451&lt;0,"lose",M451=0,"BE")</f>
        <v>BE</v>
      </c>
    </row>
    <row r="452" spans="13:14" x14ac:dyDescent="0.2">
      <c r="M452" s="49">
        <f t="shared" si="23"/>
        <v>0</v>
      </c>
      <c r="N452" s="49" t="str">
        <f t="shared" si="24"/>
        <v>BE</v>
      </c>
    </row>
    <row r="453" spans="13:14" x14ac:dyDescent="0.2">
      <c r="M453" s="49">
        <f t="shared" si="23"/>
        <v>0</v>
      </c>
      <c r="N453" s="49" t="str">
        <f t="shared" si="24"/>
        <v>BE</v>
      </c>
    </row>
    <row r="454" spans="13:14" x14ac:dyDescent="0.2">
      <c r="M454" s="49">
        <f t="shared" si="23"/>
        <v>0</v>
      </c>
      <c r="N454" s="49" t="str">
        <f t="shared" si="24"/>
        <v>BE</v>
      </c>
    </row>
    <row r="455" spans="13:14" x14ac:dyDescent="0.2">
      <c r="M455" s="49">
        <f t="shared" si="23"/>
        <v>0</v>
      </c>
      <c r="N455" s="49" t="str">
        <f t="shared" si="24"/>
        <v>BE</v>
      </c>
    </row>
    <row r="456" spans="13:14" x14ac:dyDescent="0.2">
      <c r="M456" s="49">
        <f t="shared" si="23"/>
        <v>0</v>
      </c>
      <c r="N456" s="49" t="str">
        <f t="shared" si="24"/>
        <v>BE</v>
      </c>
    </row>
    <row r="457" spans="13:14" x14ac:dyDescent="0.2">
      <c r="M457" s="49">
        <f t="shared" si="23"/>
        <v>0</v>
      </c>
      <c r="N457" s="49" t="str">
        <f t="shared" si="24"/>
        <v>BE</v>
      </c>
    </row>
    <row r="458" spans="13:14" x14ac:dyDescent="0.2">
      <c r="M458" s="49">
        <f t="shared" si="23"/>
        <v>0</v>
      </c>
      <c r="N458" s="49" t="str">
        <f t="shared" si="24"/>
        <v>BE</v>
      </c>
    </row>
    <row r="459" spans="13:14" x14ac:dyDescent="0.2">
      <c r="M459" s="49">
        <f t="shared" si="23"/>
        <v>0</v>
      </c>
      <c r="N459" s="49" t="str">
        <f t="shared" si="24"/>
        <v>BE</v>
      </c>
    </row>
    <row r="460" spans="13:14" x14ac:dyDescent="0.2">
      <c r="M460" s="49">
        <f t="shared" si="23"/>
        <v>0</v>
      </c>
      <c r="N460" s="49" t="str">
        <f t="shared" si="24"/>
        <v>BE</v>
      </c>
    </row>
    <row r="461" spans="13:14" x14ac:dyDescent="0.2">
      <c r="M461" s="49">
        <f t="shared" si="23"/>
        <v>0</v>
      </c>
      <c r="N461" s="49" t="str">
        <f t="shared" si="24"/>
        <v>BE</v>
      </c>
    </row>
    <row r="462" spans="13:14" x14ac:dyDescent="0.2">
      <c r="M462" s="49">
        <f t="shared" si="23"/>
        <v>0</v>
      </c>
      <c r="N462" s="49" t="str">
        <f t="shared" si="24"/>
        <v>BE</v>
      </c>
    </row>
    <row r="463" spans="13:14" x14ac:dyDescent="0.2">
      <c r="M463" s="49">
        <f t="shared" si="23"/>
        <v>0</v>
      </c>
      <c r="N463" s="49" t="str">
        <f t="shared" si="24"/>
        <v>BE</v>
      </c>
    </row>
    <row r="464" spans="13:14" x14ac:dyDescent="0.2">
      <c r="M464" s="49">
        <f t="shared" si="23"/>
        <v>0</v>
      </c>
      <c r="N464" s="49" t="str">
        <f t="shared" si="24"/>
        <v>BE</v>
      </c>
    </row>
    <row r="465" spans="13:14" x14ac:dyDescent="0.2">
      <c r="M465" s="49">
        <f t="shared" si="23"/>
        <v>0</v>
      </c>
      <c r="N465" s="49" t="str">
        <f t="shared" si="24"/>
        <v>BE</v>
      </c>
    </row>
    <row r="466" spans="13:14" x14ac:dyDescent="0.2">
      <c r="M466" s="49">
        <f t="shared" si="23"/>
        <v>0</v>
      </c>
      <c r="N466" s="49" t="str">
        <f t="shared" si="24"/>
        <v>BE</v>
      </c>
    </row>
    <row r="467" spans="13:14" x14ac:dyDescent="0.2">
      <c r="M467" s="49">
        <f t="shared" si="23"/>
        <v>0</v>
      </c>
      <c r="N467" s="49" t="str">
        <f t="shared" si="24"/>
        <v>BE</v>
      </c>
    </row>
    <row r="468" spans="13:14" x14ac:dyDescent="0.2">
      <c r="M468" s="49">
        <f t="shared" si="23"/>
        <v>0</v>
      </c>
      <c r="N468" s="49" t="str">
        <f t="shared" si="24"/>
        <v>BE</v>
      </c>
    </row>
    <row r="469" spans="13:14" x14ac:dyDescent="0.2">
      <c r="M469" s="49">
        <f t="shared" si="23"/>
        <v>0</v>
      </c>
      <c r="N469" s="49" t="str">
        <f t="shared" si="24"/>
        <v>BE</v>
      </c>
    </row>
    <row r="470" spans="13:14" x14ac:dyDescent="0.2">
      <c r="M470" s="49">
        <f t="shared" si="23"/>
        <v>0</v>
      </c>
      <c r="N470" s="49" t="str">
        <f t="shared" si="24"/>
        <v>BE</v>
      </c>
    </row>
    <row r="471" spans="13:14" x14ac:dyDescent="0.2">
      <c r="M471" s="49">
        <f t="shared" si="23"/>
        <v>0</v>
      </c>
      <c r="N471" s="49" t="str">
        <f t="shared" si="24"/>
        <v>BE</v>
      </c>
    </row>
    <row r="472" spans="13:14" x14ac:dyDescent="0.2">
      <c r="M472" s="49">
        <f t="shared" si="23"/>
        <v>0</v>
      </c>
      <c r="N472" s="49" t="str">
        <f t="shared" si="24"/>
        <v>BE</v>
      </c>
    </row>
    <row r="473" spans="13:14" x14ac:dyDescent="0.2">
      <c r="M473" s="49">
        <f t="shared" si="23"/>
        <v>0</v>
      </c>
      <c r="N473" s="49" t="str">
        <f t="shared" si="24"/>
        <v>BE</v>
      </c>
    </row>
    <row r="474" spans="13:14" x14ac:dyDescent="0.2">
      <c r="M474" s="49">
        <f t="shared" si="23"/>
        <v>0</v>
      </c>
      <c r="N474" s="49" t="str">
        <f t="shared" si="24"/>
        <v>BE</v>
      </c>
    </row>
    <row r="475" spans="13:14" x14ac:dyDescent="0.2">
      <c r="M475" s="49">
        <f t="shared" si="23"/>
        <v>0</v>
      </c>
      <c r="N475" s="49" t="str">
        <f t="shared" si="24"/>
        <v>BE</v>
      </c>
    </row>
    <row r="476" spans="13:14" x14ac:dyDescent="0.2">
      <c r="M476" s="49">
        <f t="shared" si="23"/>
        <v>0</v>
      </c>
      <c r="N476" s="49" t="str">
        <f t="shared" si="24"/>
        <v>BE</v>
      </c>
    </row>
    <row r="477" spans="13:14" x14ac:dyDescent="0.2">
      <c r="M477" s="49">
        <f t="shared" si="23"/>
        <v>0</v>
      </c>
      <c r="N477" s="49" t="str">
        <f t="shared" si="24"/>
        <v>BE</v>
      </c>
    </row>
    <row r="478" spans="13:14" x14ac:dyDescent="0.2">
      <c r="M478" s="49">
        <f t="shared" si="23"/>
        <v>0</v>
      </c>
      <c r="N478" s="49" t="str">
        <f t="shared" si="24"/>
        <v>BE</v>
      </c>
    </row>
    <row r="479" spans="13:14" x14ac:dyDescent="0.2">
      <c r="M479" s="49">
        <f t="shared" si="23"/>
        <v>0</v>
      </c>
      <c r="N479" s="49" t="str">
        <f t="shared" si="24"/>
        <v>BE</v>
      </c>
    </row>
    <row r="480" spans="13:14" x14ac:dyDescent="0.2">
      <c r="M480" s="49">
        <f t="shared" si="23"/>
        <v>0</v>
      </c>
      <c r="N480" s="49" t="str">
        <f t="shared" si="24"/>
        <v>BE</v>
      </c>
    </row>
    <row r="481" spans="13:14" x14ac:dyDescent="0.2">
      <c r="M481" s="49">
        <f t="shared" si="23"/>
        <v>0</v>
      </c>
      <c r="N481" s="49" t="str">
        <f t="shared" si="24"/>
        <v>BE</v>
      </c>
    </row>
    <row r="482" spans="13:14" x14ac:dyDescent="0.2">
      <c r="M482" s="49">
        <f t="shared" si="23"/>
        <v>0</v>
      </c>
      <c r="N482" s="49" t="str">
        <f t="shared" si="24"/>
        <v>BE</v>
      </c>
    </row>
    <row r="483" spans="13:14" x14ac:dyDescent="0.2">
      <c r="M483" s="49">
        <f t="shared" si="23"/>
        <v>0</v>
      </c>
      <c r="N483" s="49" t="str">
        <f t="shared" si="24"/>
        <v>BE</v>
      </c>
    </row>
    <row r="484" spans="13:14" x14ac:dyDescent="0.2">
      <c r="M484" s="49">
        <f t="shared" si="23"/>
        <v>0</v>
      </c>
      <c r="N484" s="49" t="str">
        <f t="shared" si="24"/>
        <v>BE</v>
      </c>
    </row>
    <row r="485" spans="13:14" x14ac:dyDescent="0.2">
      <c r="M485" s="49">
        <f t="shared" si="23"/>
        <v>0</v>
      </c>
      <c r="N485" s="49" t="str">
        <f t="shared" si="24"/>
        <v>BE</v>
      </c>
    </row>
    <row r="486" spans="13:14" x14ac:dyDescent="0.2">
      <c r="M486" s="49">
        <f t="shared" si="23"/>
        <v>0</v>
      </c>
      <c r="N486" s="49" t="str">
        <f t="shared" si="24"/>
        <v>BE</v>
      </c>
    </row>
    <row r="487" spans="13:14" x14ac:dyDescent="0.2">
      <c r="M487" s="49">
        <f t="shared" si="23"/>
        <v>0</v>
      </c>
      <c r="N487" s="49" t="str">
        <f t="shared" si="24"/>
        <v>BE</v>
      </c>
    </row>
    <row r="488" spans="13:14" x14ac:dyDescent="0.2">
      <c r="M488" s="49">
        <f t="shared" si="23"/>
        <v>0</v>
      </c>
      <c r="N488" s="49" t="str">
        <f t="shared" si="24"/>
        <v>BE</v>
      </c>
    </row>
    <row r="489" spans="13:14" x14ac:dyDescent="0.2">
      <c r="M489" s="49">
        <f t="shared" si="23"/>
        <v>0</v>
      </c>
      <c r="N489" s="49" t="str">
        <f t="shared" si="24"/>
        <v>BE</v>
      </c>
    </row>
    <row r="490" spans="13:14" x14ac:dyDescent="0.2">
      <c r="M490" s="49">
        <f t="shared" si="23"/>
        <v>0</v>
      </c>
      <c r="N490" s="49" t="str">
        <f t="shared" si="24"/>
        <v>BE</v>
      </c>
    </row>
    <row r="491" spans="13:14" x14ac:dyDescent="0.2">
      <c r="M491" s="49">
        <f t="shared" si="23"/>
        <v>0</v>
      </c>
      <c r="N491" s="49" t="str">
        <f t="shared" si="24"/>
        <v>BE</v>
      </c>
    </row>
    <row r="492" spans="13:14" x14ac:dyDescent="0.2">
      <c r="M492" s="49">
        <f t="shared" si="23"/>
        <v>0</v>
      </c>
      <c r="N492" s="49" t="str">
        <f t="shared" si="24"/>
        <v>BE</v>
      </c>
    </row>
    <row r="493" spans="13:14" x14ac:dyDescent="0.2">
      <c r="M493" s="49">
        <f t="shared" si="23"/>
        <v>0</v>
      </c>
      <c r="N493" s="49" t="str">
        <f t="shared" si="24"/>
        <v>BE</v>
      </c>
    </row>
    <row r="494" spans="13:14" x14ac:dyDescent="0.2">
      <c r="M494" s="49">
        <f t="shared" si="23"/>
        <v>0</v>
      </c>
      <c r="N494" s="49" t="str">
        <f t="shared" si="24"/>
        <v>BE</v>
      </c>
    </row>
    <row r="495" spans="13:14" x14ac:dyDescent="0.2">
      <c r="M495" s="49">
        <f t="shared" si="23"/>
        <v>0</v>
      </c>
      <c r="N495" s="49" t="str">
        <f t="shared" si="24"/>
        <v>BE</v>
      </c>
    </row>
    <row r="496" spans="13:14" x14ac:dyDescent="0.2">
      <c r="M496" s="49">
        <f t="shared" si="23"/>
        <v>0</v>
      </c>
      <c r="N496" s="49" t="str">
        <f t="shared" si="24"/>
        <v>BE</v>
      </c>
    </row>
    <row r="497" spans="13:14" x14ac:dyDescent="0.2">
      <c r="M497" s="49">
        <f t="shared" si="23"/>
        <v>0</v>
      </c>
      <c r="N497" s="49" t="str">
        <f t="shared" si="24"/>
        <v>BE</v>
      </c>
    </row>
    <row r="498" spans="13:14" x14ac:dyDescent="0.2">
      <c r="M498" s="49">
        <f t="shared" si="23"/>
        <v>0</v>
      </c>
      <c r="N498" s="49" t="str">
        <f t="shared" si="24"/>
        <v>BE</v>
      </c>
    </row>
    <row r="499" spans="13:14" x14ac:dyDescent="0.2">
      <c r="M499" s="49">
        <f t="shared" si="23"/>
        <v>0</v>
      </c>
      <c r="N499" s="49" t="str">
        <f t="shared" si="24"/>
        <v>BE</v>
      </c>
    </row>
    <row r="500" spans="13:14" x14ac:dyDescent="0.2">
      <c r="M500" s="49">
        <f t="shared" si="23"/>
        <v>0</v>
      </c>
      <c r="N500" s="49" t="str">
        <f t="shared" si="24"/>
        <v>BE</v>
      </c>
    </row>
    <row r="501" spans="13:14" x14ac:dyDescent="0.2">
      <c r="M501" s="49">
        <f t="shared" si="23"/>
        <v>0</v>
      </c>
      <c r="N501" s="49" t="str">
        <f t="shared" si="24"/>
        <v>BE</v>
      </c>
    </row>
    <row r="502" spans="13:14" x14ac:dyDescent="0.2">
      <c r="M502" s="49">
        <f t="shared" si="23"/>
        <v>0</v>
      </c>
      <c r="N502" s="49" t="str">
        <f t="shared" si="24"/>
        <v>BE</v>
      </c>
    </row>
    <row r="503" spans="13:14" x14ac:dyDescent="0.2">
      <c r="M503" s="49">
        <f t="shared" si="23"/>
        <v>0</v>
      </c>
      <c r="N503" s="49" t="str">
        <f t="shared" si="24"/>
        <v>BE</v>
      </c>
    </row>
    <row r="504" spans="13:14" x14ac:dyDescent="0.2">
      <c r="M504" s="49">
        <f t="shared" si="23"/>
        <v>0</v>
      </c>
      <c r="N504" s="49" t="str">
        <f t="shared" si="24"/>
        <v>BE</v>
      </c>
    </row>
  </sheetData>
  <phoneticPr fontId="11" type="noConversion"/>
  <conditionalFormatting sqref="J1">
    <cfRule type="dataBar" priority="2">
      <dataBar showValue="0">
        <cfvo type="num" val="0"/>
        <cfvo type="num" val="3"/>
        <color rgb="FFC00000"/>
      </dataBar>
      <extLst>
        <ext xmlns:x14="http://schemas.microsoft.com/office/spreadsheetml/2009/9/main" uri="{B025F937-C7B1-47D3-B67F-A62EFF666E3E}">
          <x14:id>{DDDFD76B-8056-4ACF-AE0B-1DD6D95065D3}</x14:id>
        </ext>
      </extLst>
    </cfRule>
  </conditionalFormatting>
  <conditionalFormatting sqref="L1">
    <cfRule type="dataBar" priority="1">
      <dataBar showValue="0">
        <cfvo type="num" val="0"/>
        <cfvo type="num" val="5"/>
        <color rgb="FF00B050"/>
      </dataBar>
      <extLst>
        <ext xmlns:x14="http://schemas.microsoft.com/office/spreadsheetml/2009/9/main" uri="{B025F937-C7B1-47D3-B67F-A62EFF666E3E}">
          <x14:id>{9F21874E-FD5B-4898-9569-FF8BB616FE70}</x14:id>
        </ext>
      </extLst>
    </cfRule>
  </conditionalFormatting>
  <conditionalFormatting sqref="M3:M504">
    <cfRule type="cellIs" dxfId="7" priority="9" operator="lessThan">
      <formula>0</formula>
    </cfRule>
    <cfRule type="cellIs" dxfId="6" priority="10" operator="greaterThan">
      <formula>0</formula>
    </cfRule>
  </conditionalFormatting>
  <conditionalFormatting sqref="T5:T27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T35:T38"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Y2:Z2">
    <cfRule type="cellIs" dxfId="1" priority="7" operator="lessThan">
      <formula>0</formula>
    </cfRule>
    <cfRule type="cellIs" dxfId="0" priority="8" operator="greaterThan">
      <formula>0</formula>
    </cfRule>
  </conditionalFormatting>
  <dataValidations disablePrompts="1" count="3">
    <dataValidation type="list" allowBlank="1" showInputMessage="1" showErrorMessage="1" sqref="H3:H504" xr:uid="{00000000-0002-0000-0000-000003000000}">
      <formula1>"Long,Short"</formula1>
    </dataValidation>
    <dataValidation type="list" allowBlank="1" showInputMessage="1" showErrorMessage="1" sqref="C3:C1048576" xr:uid="{EB697B1B-00CA-4B69-B15D-ED17FEC9DB4F}">
      <formula1>$AC:$AC</formula1>
    </dataValidation>
    <dataValidation type="list" allowBlank="1" showInputMessage="1" showErrorMessage="1" sqref="D3:D1048576" xr:uid="{86F585B2-B755-48ED-87A2-F012D58F7237}">
      <formula1>$S$35:$S$38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DFD76B-8056-4ACF-AE0B-1DD6D95065D3}">
            <x14:dataBar minLength="0" maxLength="100" direction="leftToRight">
              <x14:cfvo type="num">
                <xm:f>0</xm:f>
              </x14:cfvo>
              <x14:cfvo type="num">
                <xm:f>3</xm:f>
              </x14:cfvo>
              <x14:negativeFillColor rgb="FFFF0000"/>
              <x14:axisColor rgb="FF000000"/>
            </x14:dataBar>
          </x14:cfRule>
          <xm:sqref>J1</xm:sqref>
        </x14:conditionalFormatting>
        <x14:conditionalFormatting xmlns:xm="http://schemas.microsoft.com/office/excel/2006/main">
          <x14:cfRule type="dataBar" id="{9F21874E-FD5B-4898-9569-FF8BB616FE70}">
            <x14:dataBar minLength="0" maxLength="100" direction="leftToRight">
              <x14:cfvo type="num">
                <xm:f>0</xm:f>
              </x14:cfvo>
              <x14:cfvo type="num">
                <xm:f>5</xm:f>
              </x14:cfvo>
              <x14:negativeFillColor rgb="FFFF0000"/>
              <x14:axisColor rgb="FF000000"/>
            </x14:dataBar>
          </x14:cfRule>
          <xm:sqref>L1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000-000002000000}">
          <x14:formula1>
            <xm:f>错误类型1!$D$2:$D$10</xm:f>
          </x14:formula1>
          <xm:sqref>E30:E504 E3:E28</xm:sqref>
        </x14:dataValidation>
        <x14:dataValidation type="list" allowBlank="1" showInputMessage="1" showErrorMessage="1" xr:uid="{00000000-0002-0000-0000-000004000000}">
          <x14:formula1>
            <xm:f>错误类型1!$A$2:$A$20</xm:f>
          </x14:formula1>
          <xm:sqref>Q3:Q504</xm:sqref>
        </x14:dataValidation>
        <x14:dataValidation type="list" allowBlank="1" showInputMessage="1" showErrorMessage="1" xr:uid="{D1BA5C35-F7FE-43E9-BF14-6B2DC9A5996B}">
          <x14:formula1>
            <xm:f>错误类型1!$D$2:$D$11</xm:f>
          </x14:formula1>
          <xm:sqref>E29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2"/>
  <sheetViews>
    <sheetView zoomScale="150" workbookViewId="0">
      <selection activeCell="B2" sqref="B2"/>
    </sheetView>
  </sheetViews>
  <sheetFormatPr defaultColWidth="8.875" defaultRowHeight="14.25" x14ac:dyDescent="0.2"/>
  <cols>
    <col min="1" max="1" width="38.625" bestFit="1" customWidth="1"/>
    <col min="2" max="2" width="8.625" customWidth="1"/>
    <col min="4" max="4" width="20.875" customWidth="1"/>
  </cols>
  <sheetData>
    <row r="1" spans="1:4" x14ac:dyDescent="0.2">
      <c r="A1" s="3" t="s">
        <v>12</v>
      </c>
      <c r="B1" s="3" t="s">
        <v>51</v>
      </c>
      <c r="D1" s="4" t="s">
        <v>52</v>
      </c>
    </row>
    <row r="2" spans="1:4" ht="16.5" x14ac:dyDescent="0.2">
      <c r="A2" s="5" t="s">
        <v>53</v>
      </c>
      <c r="B2" s="5">
        <f>COUNTIF(日志!$Q3:$Q1048576,错误类型1!A2)</f>
        <v>0</v>
      </c>
      <c r="D2" s="14" t="s">
        <v>72</v>
      </c>
    </row>
    <row r="3" spans="1:4" ht="16.5" x14ac:dyDescent="0.2">
      <c r="A3" s="6" t="s">
        <v>54</v>
      </c>
      <c r="B3" s="6">
        <f>COUNTIF(日志!$Q3:$Q1048576,错误类型1!A3)</f>
        <v>1</v>
      </c>
      <c r="D3" s="14" t="s">
        <v>74</v>
      </c>
    </row>
    <row r="4" spans="1:4" ht="16.5" x14ac:dyDescent="0.2">
      <c r="A4" s="5" t="s">
        <v>55</v>
      </c>
      <c r="B4" s="5">
        <f>COUNTIF(日志!$Q3:$Q1048576,错误类型1!A4)</f>
        <v>1</v>
      </c>
      <c r="D4" s="14" t="s">
        <v>76</v>
      </c>
    </row>
    <row r="5" spans="1:4" ht="15" x14ac:dyDescent="0.2">
      <c r="A5" s="5" t="s">
        <v>56</v>
      </c>
      <c r="B5" s="5">
        <f>COUNTIF(日志!$Q3:$Q1048576,错误类型1!A5)</f>
        <v>3</v>
      </c>
      <c r="D5" s="15" t="s">
        <v>75</v>
      </c>
    </row>
    <row r="6" spans="1:4" ht="16.5" x14ac:dyDescent="0.2">
      <c r="A6" s="5" t="s">
        <v>57</v>
      </c>
      <c r="B6" s="5">
        <f>COUNTIF(日志!$Q3:$Q1048576,错误类型1!A6)</f>
        <v>0</v>
      </c>
      <c r="D6" s="14" t="s">
        <v>80</v>
      </c>
    </row>
    <row r="7" spans="1:4" ht="16.5" x14ac:dyDescent="0.2">
      <c r="A7" s="5" t="s">
        <v>58</v>
      </c>
      <c r="B7" s="5">
        <f>COUNTIF(日志!$Q3:$Q1048576,错误类型1!A7)</f>
        <v>0</v>
      </c>
      <c r="D7" s="16" t="s">
        <v>82</v>
      </c>
    </row>
    <row r="8" spans="1:4" ht="16.5" x14ac:dyDescent="0.2">
      <c r="A8" s="5" t="s">
        <v>59</v>
      </c>
      <c r="B8" s="5">
        <f>COUNTIF(日志!$Q3:$Q1048576,错误类型1!A8)</f>
        <v>0</v>
      </c>
      <c r="D8" s="14" t="s">
        <v>83</v>
      </c>
    </row>
    <row r="9" spans="1:4" ht="15" x14ac:dyDescent="0.2">
      <c r="A9" s="5" t="s">
        <v>60</v>
      </c>
      <c r="B9" s="5">
        <f>COUNTIF(日志!$Q3:$Q1048576,错误类型1!A9)</f>
        <v>0</v>
      </c>
      <c r="D9" s="15" t="s">
        <v>88</v>
      </c>
    </row>
    <row r="10" spans="1:4" ht="15" x14ac:dyDescent="0.2">
      <c r="A10" s="5" t="s">
        <v>61</v>
      </c>
      <c r="B10" s="5">
        <f>COUNTIF(日志!$Q3:$Q1048576,错误类型1!A10)</f>
        <v>0</v>
      </c>
      <c r="D10" s="15" t="s">
        <v>91</v>
      </c>
    </row>
    <row r="11" spans="1:4" ht="15" x14ac:dyDescent="0.2">
      <c r="D11" s="17" t="s">
        <v>92</v>
      </c>
    </row>
    <row r="12" spans="1:4" x14ac:dyDescent="0.2">
      <c r="D12" s="87" t="s">
        <v>147</v>
      </c>
    </row>
  </sheetData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总结</vt:lpstr>
      <vt:lpstr>日志重制</vt:lpstr>
      <vt:lpstr>入场理由</vt:lpstr>
      <vt:lpstr>入场类型</vt:lpstr>
      <vt:lpstr>离场理由</vt:lpstr>
      <vt:lpstr>错误原因</vt:lpstr>
      <vt:lpstr>临时</vt:lpstr>
      <vt:lpstr>别瞎搞日记本</vt:lpstr>
      <vt:lpstr>日志</vt:lpstr>
      <vt:lpstr>错误类型1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菜真寒</dc:creator>
  <cp:lastModifiedBy>君睿 陆</cp:lastModifiedBy>
  <dcterms:created xsi:type="dcterms:W3CDTF">2025-12-20T13:14:09Z</dcterms:created>
  <dcterms:modified xsi:type="dcterms:W3CDTF">2026-01-07T15:02:53Z</dcterms:modified>
</cp:coreProperties>
</file>